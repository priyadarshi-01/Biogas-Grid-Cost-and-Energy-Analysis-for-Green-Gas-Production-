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332f111902e0ad/Documents/Sem-6/DEP/"/>
    </mc:Choice>
  </mc:AlternateContent>
  <xr:revisionPtr revIDLastSave="182" documentId="8_{7A3E1FA3-04C2-493F-BA57-44AFEADA9028}" xr6:coauthVersionLast="47" xr6:coauthVersionMax="47" xr10:uidLastSave="{BBC096CD-75D6-4749-999F-8347F2516839}"/>
  <bookViews>
    <workbookView minimized="1" xWindow="4080" yWindow="4080" windowWidth="17280" windowHeight="8880" tabRatio="941" activeTab="3" xr2:uid="{6A49C229-9548-4DD7-A21E-9101FE74CB48}"/>
  </bookViews>
  <sheets>
    <sheet name="Inputs &amp; Geometry" sheetId="1" r:id="rId1"/>
    <sheet name="Maize Transport" sheetId="2" r:id="rId2"/>
    <sheet name="Manure" sheetId="8" r:id="rId3"/>
    <sheet name="Cosubstrate" sheetId="10" r:id="rId4"/>
    <sheet name="Manure Transport" sheetId="3" r:id="rId5"/>
    <sheet name="Digestate Transport" sheetId="5" r:id="rId6"/>
    <sheet name="Digester Biogas" sheetId="7" r:id="rId7"/>
    <sheet name="Digestate Handling" sheetId="9" r:id="rId8"/>
    <sheet name="Digester" sheetId="6" r:id="rId9"/>
    <sheet name="Biogass grid" sheetId="11" r:id="rId10"/>
    <sheet name="Upgrading" sheetId="12" r:id="rId11"/>
    <sheet name="Injection Right" sheetId="1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2" l="1"/>
  <c r="B21" i="12"/>
  <c r="B64" i="11"/>
  <c r="B44" i="11"/>
  <c r="B12" i="10"/>
  <c r="B6" i="10"/>
  <c r="B5" i="10"/>
  <c r="B2" i="10"/>
  <c r="B43" i="11"/>
  <c r="B31" i="11"/>
  <c r="B30" i="11"/>
  <c r="B76" i="11"/>
  <c r="B54" i="11"/>
  <c r="B20" i="11"/>
  <c r="B19" i="11"/>
  <c r="B17" i="11"/>
  <c r="B16" i="11"/>
  <c r="B15" i="11"/>
  <c r="B14" i="11"/>
  <c r="B4" i="11"/>
  <c r="B20" i="1"/>
  <c r="B17" i="1"/>
  <c r="B16" i="1"/>
  <c r="B33" i="11"/>
  <c r="B39" i="11" s="1"/>
  <c r="B40" i="11" s="1"/>
  <c r="B26" i="11"/>
  <c r="B24" i="11"/>
  <c r="B3" i="11"/>
  <c r="B32" i="14"/>
  <c r="B33" i="14" s="1"/>
  <c r="B26" i="14"/>
  <c r="B24" i="14"/>
  <c r="B22" i="14"/>
  <c r="B19" i="14"/>
  <c r="B16" i="14"/>
  <c r="B15" i="14"/>
  <c r="B13" i="14"/>
  <c r="B11" i="14"/>
  <c r="B4" i="14"/>
  <c r="B12" i="12"/>
  <c r="B4" i="12"/>
  <c r="B2" i="12"/>
  <c r="B29" i="2"/>
  <c r="B19" i="3"/>
  <c r="B15" i="6"/>
  <c r="B9" i="6"/>
  <c r="B5" i="6"/>
  <c r="B6" i="7"/>
  <c r="B5" i="7"/>
  <c r="B9" i="3"/>
  <c r="B12" i="2"/>
  <c r="B7" i="3"/>
  <c r="B8" i="3"/>
  <c r="G14" i="6" l="1"/>
  <c r="G18" i="6" s="1"/>
  <c r="B14" i="6"/>
  <c r="B14" i="3"/>
  <c r="B15" i="2"/>
  <c r="B7" i="5"/>
  <c r="B3" i="7"/>
  <c r="B9" i="7" s="1"/>
  <c r="B7" i="10"/>
  <c r="B8" i="10" s="1"/>
  <c r="B8" i="8"/>
  <c r="B4" i="8"/>
  <c r="B7" i="8" s="1"/>
  <c r="B60" i="11"/>
  <c r="B14" i="12"/>
  <c r="B16" i="12"/>
  <c r="B55" i="11"/>
  <c r="B56" i="11" s="1"/>
  <c r="B57" i="11" s="1"/>
  <c r="B10" i="11"/>
  <c r="B13" i="10"/>
  <c r="B6" i="9"/>
  <c r="B18" i="5"/>
  <c r="B21" i="2"/>
  <c r="B19" i="1"/>
  <c r="B12" i="1"/>
  <c r="B13" i="1" s="1"/>
  <c r="B14" i="1" s="1"/>
  <c r="B9" i="2" l="1"/>
  <c r="B16" i="2" s="1"/>
  <c r="B17" i="2" s="1"/>
  <c r="B11" i="3"/>
  <c r="B18" i="2"/>
  <c r="B17" i="6"/>
  <c r="B19" i="6" s="1"/>
  <c r="B20" i="6" s="1"/>
  <c r="B8" i="5"/>
  <c r="B9" i="5" s="1"/>
  <c r="B13" i="5" s="1"/>
  <c r="B9" i="8"/>
  <c r="B2" i="7"/>
  <c r="B8" i="7" s="1"/>
  <c r="B10" i="7" s="1"/>
  <c r="B21" i="1"/>
  <c r="B14" i="10"/>
  <c r="B24" i="12"/>
  <c r="B28" i="11" l="1"/>
  <c r="B25" i="12"/>
  <c r="B27" i="12" s="1"/>
  <c r="B29" i="12" s="1"/>
  <c r="B12" i="3"/>
  <c r="B17" i="3" s="1"/>
  <c r="B22" i="3" s="1"/>
  <c r="B23" i="3" s="1"/>
  <c r="B11" i="5"/>
  <c r="B10" i="2"/>
  <c r="B24" i="2" s="1"/>
  <c r="B27" i="2" s="1"/>
  <c r="B31" i="2" s="1"/>
  <c r="B32" i="2" s="1"/>
  <c r="B65" i="11"/>
  <c r="B66" i="11" s="1"/>
  <c r="B67" i="11" s="1"/>
  <c r="B68" i="11" s="1"/>
  <c r="B69" i="11" s="1"/>
  <c r="B71" i="11" s="1"/>
  <c r="B72" i="11" s="1"/>
  <c r="B73" i="11" s="1"/>
  <c r="B2" i="9"/>
  <c r="B5" i="9" s="1"/>
  <c r="B7" i="9" s="1"/>
  <c r="B8" i="9" s="1"/>
  <c r="B10" i="8"/>
  <c r="B15" i="3" l="1"/>
  <c r="B16" i="3" s="1"/>
  <c r="B36" i="11"/>
  <c r="B38" i="11"/>
  <c r="B42" i="11" s="1"/>
  <c r="B14" i="5"/>
  <c r="B15" i="5" s="1"/>
  <c r="B19" i="5" s="1"/>
  <c r="B16" i="5"/>
  <c r="B20" i="5" s="1"/>
  <c r="B21" i="5" s="1"/>
  <c r="B21" i="3"/>
  <c r="B22" i="2"/>
  <c r="B23" i="2" s="1"/>
  <c r="B26" i="2" s="1"/>
  <c r="B30" i="2" s="1"/>
  <c r="B77" i="11"/>
  <c r="B78" i="11" s="1"/>
  <c r="B79" i="11" s="1"/>
  <c r="B74" i="11"/>
  <c r="B13" i="7"/>
  <c r="B82" i="11" l="1"/>
  <c r="B83" i="11" s="1"/>
</calcChain>
</file>

<file path=xl/sharedStrings.xml><?xml version="1.0" encoding="utf-8"?>
<sst xmlns="http://schemas.openxmlformats.org/spreadsheetml/2006/main" count="548" uniqueCount="338">
  <si>
    <t>Name</t>
  </si>
  <si>
    <t>Value</t>
  </si>
  <si>
    <t>Unit</t>
  </si>
  <si>
    <t>Formulas Used</t>
  </si>
  <si>
    <t>Area_A_farm</t>
  </si>
  <si>
    <t>ha</t>
  </si>
  <si>
    <t>Tortuosity_tau_A</t>
  </si>
  <si>
    <t>_</t>
  </si>
  <si>
    <t>M_maize</t>
  </si>
  <si>
    <t>Mg/year</t>
  </si>
  <si>
    <t>Y_maize</t>
  </si>
  <si>
    <t>Mg/ha/year</t>
  </si>
  <si>
    <t>Arable_fraction</t>
  </si>
  <si>
    <t>Energy_maize_fraction</t>
  </si>
  <si>
    <t>Tortuosity_tau_B</t>
  </si>
  <si>
    <t>Annual_green_gas</t>
  </si>
  <si>
    <t>m^3/year</t>
  </si>
  <si>
    <t>Area_A</t>
  </si>
  <si>
    <t>m^2</t>
  </si>
  <si>
    <t>R_A</t>
  </si>
  <si>
    <t>m</t>
  </si>
  <si>
    <t>SQRT(Area_A/Pi)</t>
  </si>
  <si>
    <t>Rahd_A</t>
  </si>
  <si>
    <t>R_A*(2/3)*Tortuosity_A</t>
  </si>
  <si>
    <t>A_maize</t>
  </si>
  <si>
    <t>M_maize/Y_maize</t>
  </si>
  <si>
    <t>Maize_land_fraction</t>
  </si>
  <si>
    <t>Arable_fraction*Energy_maize_fraction</t>
  </si>
  <si>
    <t>A_total</t>
  </si>
  <si>
    <t>A_maize/Maize_land_fraction</t>
  </si>
  <si>
    <t>A_total*10000</t>
  </si>
  <si>
    <t>R_tot</t>
  </si>
  <si>
    <t>SQRT(A_total/Pi)</t>
  </si>
  <si>
    <t>Rahd_B</t>
  </si>
  <si>
    <t xml:space="preserve"> Tortuosity_B*(2/3)*R_tot*((1-(R_A/R_tot)^3)/(1-(R_A/R_tot)^2))</t>
  </si>
  <si>
    <t>Parameter</t>
  </si>
  <si>
    <t>Formualas Used</t>
  </si>
  <si>
    <t>Tractor_capacity</t>
  </si>
  <si>
    <t>ton</t>
  </si>
  <si>
    <t>Truck_capacity</t>
  </si>
  <si>
    <t>Tractor_cost</t>
  </si>
  <si>
    <t>€/Km</t>
  </si>
  <si>
    <t>Truck_cost</t>
  </si>
  <si>
    <t>Energy_consumption_tractor_transport</t>
  </si>
  <si>
    <t>MJ/(ton.Km)</t>
  </si>
  <si>
    <t>Energy_consumption_truck_transport</t>
  </si>
  <si>
    <t>Km</t>
  </si>
  <si>
    <t>Biomass_total</t>
  </si>
  <si>
    <t>ton/year</t>
  </si>
  <si>
    <t>Description</t>
  </si>
  <si>
    <t>Tractor_trips</t>
  </si>
  <si>
    <t>Biomass_total/Tractor_capacity</t>
  </si>
  <si>
    <t>Tractor_tonkm</t>
  </si>
  <si>
    <t>ton-Km/year</t>
  </si>
  <si>
    <t>Biomass_total*Rahd_A</t>
  </si>
  <si>
    <t>Tractor_energy</t>
  </si>
  <si>
    <t>MJ/year</t>
  </si>
  <si>
    <t>Tractor_tonkm*Energy_consumption_tractor_transport</t>
  </si>
  <si>
    <t>€/year</t>
  </si>
  <si>
    <t>Tractor_trips*Rahd_A*Tractor_cost*2</t>
  </si>
  <si>
    <t>Truck_trips</t>
  </si>
  <si>
    <t>Biomass_total/Truck_capacity</t>
  </si>
  <si>
    <t>Truck_tonkm</t>
  </si>
  <si>
    <t>Biomass_total*Rahd_B</t>
  </si>
  <si>
    <t>Truck_energy</t>
  </si>
  <si>
    <t>Truck_tonkm*Energy_consumption_truck_transport</t>
  </si>
  <si>
    <t>Truck_trips*Rahd_B*Truck_cost*2</t>
  </si>
  <si>
    <t>Total_energy</t>
  </si>
  <si>
    <t>Tractor_energy + Truck_energy</t>
  </si>
  <si>
    <t>Total_cost</t>
  </si>
  <si>
    <t>Tractor_cost + Truck_cost</t>
  </si>
  <si>
    <t>Annual_Green_gas</t>
  </si>
  <si>
    <t>only for Maize</t>
  </si>
  <si>
    <t>Energy</t>
  </si>
  <si>
    <t>MJ/m^3</t>
  </si>
  <si>
    <t>Total_energy/Annual_Green_gas</t>
  </si>
  <si>
    <t>Cost</t>
  </si>
  <si>
    <t>€/m^3</t>
  </si>
  <si>
    <t>Total_cost/Annual_Green_gas</t>
  </si>
  <si>
    <t>Cost_euro_cnt</t>
  </si>
  <si>
    <t>€ct/m^3</t>
  </si>
  <si>
    <t>cost*100</t>
  </si>
  <si>
    <t xml:space="preserve">No. of cows </t>
  </si>
  <si>
    <t>manure production dairy cattle</t>
  </si>
  <si>
    <t>ton/year/cow</t>
  </si>
  <si>
    <t>Manure_used</t>
  </si>
  <si>
    <t>Manure_price</t>
  </si>
  <si>
    <t>€/ton</t>
  </si>
  <si>
    <t>Annual_manure_cost</t>
  </si>
  <si>
    <t>Manure_used*Manure_price</t>
  </si>
  <si>
    <t>m³/year</t>
  </si>
  <si>
    <t>Manure_cost_per_m3</t>
  </si>
  <si>
    <t>€/m³</t>
  </si>
  <si>
    <t>Annual_manure_cost/Annual_green_gas</t>
  </si>
  <si>
    <t>Manure_cost_ct_per_m3</t>
  </si>
  <si>
    <t>ct/m³</t>
  </si>
  <si>
    <t>Manure_cost_per_m3*100</t>
  </si>
  <si>
    <t>Cosubstrate_mass</t>
  </si>
  <si>
    <t>Cosubstrate_price</t>
  </si>
  <si>
    <t>Annual_cosubstrate_cost</t>
  </si>
  <si>
    <t>cosubstrate_mass*cosubstrate_price</t>
  </si>
  <si>
    <t>Cosubstrate_cost_per_m3</t>
  </si>
  <si>
    <t>Annula_cosubstarte_cost/Annual_Green_gas</t>
  </si>
  <si>
    <t>Cosubstrate_cost_ct_per_m3</t>
  </si>
  <si>
    <t>€ct/m³</t>
  </si>
  <si>
    <t>cosubstarte_cost_per_m3*100</t>
  </si>
  <si>
    <t>Cosubstrate_energy_intensity</t>
  </si>
  <si>
    <t>MJ/ton</t>
  </si>
  <si>
    <t>Annual_cosubstrate_energy</t>
  </si>
  <si>
    <t>cosubstrate_mass*cosubstrate_energy_intensity</t>
  </si>
  <si>
    <t>Cosubstrate_energy_per_m3</t>
  </si>
  <si>
    <t>MJ/m³</t>
  </si>
  <si>
    <t>Annual_cosubstrate_energy/Annual_Green_gas</t>
  </si>
  <si>
    <t>€/km</t>
  </si>
  <si>
    <t>MJ/(ton·km)</t>
  </si>
  <si>
    <t>Manure_per_cow</t>
  </si>
  <si>
    <t>Number_of_cows</t>
  </si>
  <si>
    <t>Total_manure</t>
  </si>
  <si>
    <t>Manure_per_cows*Number_of_cows</t>
  </si>
  <si>
    <t>trips/year</t>
  </si>
  <si>
    <t>Total_manure/Truck_capacity</t>
  </si>
  <si>
    <t>ton·km/year</t>
  </si>
  <si>
    <t>Total_manure*Manure_distance_km</t>
  </si>
  <si>
    <t>Truck_energy_total</t>
  </si>
  <si>
    <t>Truck_tonkm*Truck_energy</t>
  </si>
  <si>
    <t>Truck_cost_total</t>
  </si>
  <si>
    <t>Truck_trips*Manure_distance_km*Truck_cost*2</t>
  </si>
  <si>
    <t>only for Manure</t>
  </si>
  <si>
    <t>Manure_energy_MJ_per_m3</t>
  </si>
  <si>
    <t>Truck_energy_total/Annual_green_gas</t>
  </si>
  <si>
    <t>Manure_cost_EUR_per_m3</t>
  </si>
  <si>
    <t>Truck_cost_total/Annual_Green_gas</t>
  </si>
  <si>
    <t>Manure_cost_EUR_per_m3*100</t>
  </si>
  <si>
    <t>Digestate_from_maize</t>
  </si>
  <si>
    <t>Digestate_from_manure</t>
  </si>
  <si>
    <t>Total_digestate</t>
  </si>
  <si>
    <t>Digestate_distance_km</t>
  </si>
  <si>
    <t>Digestate_trips</t>
  </si>
  <si>
    <t>Digestate_tonkm</t>
  </si>
  <si>
    <t>Digestate_energy</t>
  </si>
  <si>
    <t>Digestate_cost</t>
  </si>
  <si>
    <t>Digestate_energy_MJ_per_m3</t>
  </si>
  <si>
    <t>Digestate_cost_EUR_per_m3</t>
  </si>
  <si>
    <t>Manure_input</t>
  </si>
  <si>
    <t>Maize_input</t>
  </si>
  <si>
    <t>Biogas_yield_manure</t>
  </si>
  <si>
    <t>m3/ton</t>
  </si>
  <si>
    <t>Biogas_yield_maize</t>
  </si>
  <si>
    <t>Biogas_from_manure</t>
  </si>
  <si>
    <t>m3/year</t>
  </si>
  <si>
    <t>Biogas_from_maize</t>
  </si>
  <si>
    <t>Total_biogas</t>
  </si>
  <si>
    <t>Methane_content_biogas</t>
  </si>
  <si>
    <t>Methane_raw</t>
  </si>
  <si>
    <t>Digestate_mass</t>
  </si>
  <si>
    <t>Fertilizer_saving</t>
  </si>
  <si>
    <t>Annual_digestate_credit</t>
  </si>
  <si>
    <t>Digestate_credit_per_m3</t>
  </si>
  <si>
    <t>Digestate_credit_ct_per_m3</t>
  </si>
  <si>
    <t>Assumptions:</t>
  </si>
  <si>
    <t>Formula/ Equation</t>
  </si>
  <si>
    <t>Operating hours</t>
  </si>
  <si>
    <t>h/year</t>
  </si>
  <si>
    <t>Slurry density = 1000 kg/m³</t>
  </si>
  <si>
    <t>Total Digester Energy = Heating + Mixing + Pumping</t>
  </si>
  <si>
    <t>Annual production of biogas</t>
  </si>
  <si>
    <t>m³/h</t>
  </si>
  <si>
    <t>Annual production of green gas</t>
  </si>
  <si>
    <t>Cp = 4.18 kJ/kg*K</t>
  </si>
  <si>
    <t>E_total = E_heating + E_mixing + E_pumping</t>
  </si>
  <si>
    <t>T1 = 308.15 K</t>
  </si>
  <si>
    <t>Investment of 1 digester</t>
  </si>
  <si>
    <t>€</t>
  </si>
  <si>
    <t>0.0082*Q^0.9042*106</t>
  </si>
  <si>
    <t>T2 = 288.15 K</t>
  </si>
  <si>
    <t xml:space="preserve">Q </t>
  </si>
  <si>
    <t>m*Cp*( T1 - T2)</t>
  </si>
  <si>
    <t>Investment of 6 digester</t>
  </si>
  <si>
    <t>1000 * 4.18*20</t>
  </si>
  <si>
    <t>Typical mixing requirement:</t>
  </si>
  <si>
    <t>Depreciation period</t>
  </si>
  <si>
    <t>years</t>
  </si>
  <si>
    <t>5–10 W per m³ of digester volume</t>
  </si>
  <si>
    <t>OPEX</t>
  </si>
  <si>
    <t xml:space="preserve">1 m³ biogas </t>
  </si>
  <si>
    <t>kg slurry</t>
  </si>
  <si>
    <t>Annual Depreciation cost</t>
  </si>
  <si>
    <t xml:space="preserve">E_heating </t>
  </si>
  <si>
    <t>Annual OPEX</t>
  </si>
  <si>
    <t>E_mixing</t>
  </si>
  <si>
    <t>E_pumping</t>
  </si>
  <si>
    <t>Total Cost</t>
  </si>
  <si>
    <t>E_total</t>
  </si>
  <si>
    <t>Cost per m³</t>
  </si>
  <si>
    <t>€/ m³</t>
  </si>
  <si>
    <t>Formula</t>
  </si>
  <si>
    <t>Number of digesters</t>
  </si>
  <si>
    <t>-</t>
  </si>
  <si>
    <t>Biogas per digester</t>
  </si>
  <si>
    <t>m3/hr</t>
  </si>
  <si>
    <t>Radius</t>
  </si>
  <si>
    <t>km</t>
  </si>
  <si>
    <t>Pipeline diameter</t>
  </si>
  <si>
    <t>mm</t>
  </si>
  <si>
    <t>Easy terrain fraction</t>
  </si>
  <si>
    <t>Difficult terrain fraction</t>
  </si>
  <si>
    <t>Pipeline cost easy</t>
  </si>
  <si>
    <t>€/m</t>
  </si>
  <si>
    <t>Pipeline cost difficult</t>
  </si>
  <si>
    <t>Compressors needed</t>
  </si>
  <si>
    <t>Number digesters - 1</t>
  </si>
  <si>
    <t>Electricity price</t>
  </si>
  <si>
    <t>€/kWh</t>
  </si>
  <si>
    <t>pipeline</t>
  </si>
  <si>
    <t>Pipeline length per digester</t>
  </si>
  <si>
    <t>2 × Radius</t>
  </si>
  <si>
    <t>Total pipeline length</t>
  </si>
  <si>
    <t>Length per digester × compressors</t>
  </si>
  <si>
    <t>Total pipeline length (m)</t>
  </si>
  <si>
    <t>km to m</t>
  </si>
  <si>
    <t>Average pipeline cost per m</t>
  </si>
  <si>
    <t>weighted average</t>
  </si>
  <si>
    <t>Pipeline cost</t>
  </si>
  <si>
    <t>length × cost per m</t>
  </si>
  <si>
    <t>Maintenance</t>
  </si>
  <si>
    <t>required investments::</t>
  </si>
  <si>
    <t>Desulfurization + drying</t>
  </si>
  <si>
    <t>per digester</t>
  </si>
  <si>
    <t>total</t>
  </si>
  <si>
    <t>Flare cost</t>
  </si>
  <si>
    <t>Total additional cost:</t>
  </si>
  <si>
    <t>TOTAL PIPE</t>
  </si>
  <si>
    <t>Compressor cost per unit</t>
  </si>
  <si>
    <t>paper formula</t>
  </si>
  <si>
    <t>Total compressor Cost</t>
  </si>
  <si>
    <t>per compressor × number</t>
  </si>
  <si>
    <t>Total grid Cost</t>
  </si>
  <si>
    <t>pipeline + compressor</t>
  </si>
  <si>
    <t>Annual pipeline Cost</t>
  </si>
  <si>
    <t>12 year depreciation</t>
  </si>
  <si>
    <t>Annual compressor cost</t>
  </si>
  <si>
    <t>Total annual cost</t>
  </si>
  <si>
    <t>sum</t>
  </si>
  <si>
    <t>Total annual biogas grid cost</t>
  </si>
  <si>
    <t>Annual biogas production</t>
  </si>
  <si>
    <t>flow × digesters × hours</t>
  </si>
  <si>
    <t>€/m3</t>
  </si>
  <si>
    <t>ENERGY CALCULATION</t>
  </si>
  <si>
    <t>ID</t>
  </si>
  <si>
    <t>ID in mm</t>
  </si>
  <si>
    <t>VISCOSITY</t>
  </si>
  <si>
    <t>Pa.s</t>
  </si>
  <si>
    <t>roughness</t>
  </si>
  <si>
    <t>1.velocity   (Q/A)</t>
  </si>
  <si>
    <t>2.Reynolds no</t>
  </si>
  <si>
    <t>3.friction factor</t>
  </si>
  <si>
    <t>PRESSURE DROP</t>
  </si>
  <si>
    <t xml:space="preserve"> </t>
  </si>
  <si>
    <t xml:space="preserve"> MPa</t>
  </si>
  <si>
    <t>suction pressure(p1)</t>
  </si>
  <si>
    <t>MPa</t>
  </si>
  <si>
    <t>discharge pressure(p2)</t>
  </si>
  <si>
    <t>W=ZRT/M *NK/K-1*[(P2/P1)^(K-1/NK)-1]</t>
  </si>
  <si>
    <t>N [STAGES]</t>
  </si>
  <si>
    <t>exponenet term k-1/Nk</t>
  </si>
  <si>
    <t>Pressure term</t>
  </si>
  <si>
    <t xml:space="preserve">W </t>
  </si>
  <si>
    <t>J/MOL</t>
  </si>
  <si>
    <t>J/KG</t>
  </si>
  <si>
    <t>KJ/KG</t>
  </si>
  <si>
    <t>E</t>
  </si>
  <si>
    <t>KWH/KG</t>
  </si>
  <si>
    <t>E_USE</t>
  </si>
  <si>
    <t>KWh/m3</t>
  </si>
  <si>
    <t>Energy use per m3</t>
  </si>
  <si>
    <t>MJ/m3</t>
  </si>
  <si>
    <t>Biogas Transport</t>
  </si>
  <si>
    <t xml:space="preserve">total biogas per year </t>
  </si>
  <si>
    <t>TOTAL ENERGY USE</t>
  </si>
  <si>
    <t>kwh/year</t>
  </si>
  <si>
    <t>TOTAL ENERGY COST</t>
  </si>
  <si>
    <t xml:space="preserve">ENERGY COST per m3 </t>
  </si>
  <si>
    <t>TOTAL BIOGAS GRID COST</t>
  </si>
  <si>
    <t>€ct/m3</t>
  </si>
  <si>
    <t>Technical Variables</t>
  </si>
  <si>
    <t>Biogas capacity</t>
  </si>
  <si>
    <t>Annual green gas</t>
  </si>
  <si>
    <t>Green gas capacity * Operating hours</t>
  </si>
  <si>
    <t>Financial Parameters</t>
  </si>
  <si>
    <t>Depreciation period (n)</t>
  </si>
  <si>
    <t>year</t>
  </si>
  <si>
    <t>Interest rate [r]</t>
  </si>
  <si>
    <t>O&amp;M fraction</t>
  </si>
  <si>
    <t>Investment Cost</t>
  </si>
  <si>
    <t>81532 * Q^(0.4551)</t>
  </si>
  <si>
    <t>Capital Recovery Factor(CRF)</t>
  </si>
  <si>
    <t>[r*(1+r)n]/[(1+r)n - 1]</t>
  </si>
  <si>
    <t>Annualized CAPEX</t>
  </si>
  <si>
    <t>Investment Cost * CRF</t>
  </si>
  <si>
    <t>O&amp;M Cost</t>
  </si>
  <si>
    <t>Investment Cost * O&amp;M fraction</t>
  </si>
  <si>
    <t>Specific Energy Consumption</t>
  </si>
  <si>
    <t>kWh/m³</t>
  </si>
  <si>
    <t>Annual Energy Use</t>
  </si>
  <si>
    <t>kWh/year</t>
  </si>
  <si>
    <t>Annual production * Specific Energy Consumption</t>
  </si>
  <si>
    <t xml:space="preserve">Annual Energy use / Annual Production </t>
  </si>
  <si>
    <t>Annual Energy Cost</t>
  </si>
  <si>
    <t>Annual Energy Use * Electricity price</t>
  </si>
  <si>
    <t>Total Annual Upgrading Cost</t>
  </si>
  <si>
    <t>Annual Energy Use + O&amp;M Cost + Annualized CAPEX</t>
  </si>
  <si>
    <t>Upgrading Cost per m³</t>
  </si>
  <si>
    <t>Total Annual Upgrading Cost / Annual production</t>
  </si>
  <si>
    <t xml:space="preserve">Upgrading Cost </t>
  </si>
  <si>
    <t>Upgrading Cost per m³ * 100</t>
  </si>
  <si>
    <t>Investment</t>
  </si>
  <si>
    <t>Formulaes Used</t>
  </si>
  <si>
    <t xml:space="preserve">Assumptions </t>
  </si>
  <si>
    <t>Annual depreciation = Investment ÷ 12 years</t>
  </si>
  <si>
    <t>Green gas capacity</t>
  </si>
  <si>
    <t>Annual interest = Investment × 7%</t>
  </si>
  <si>
    <t>Opex = Investment × 5%/year</t>
  </si>
  <si>
    <t>CAPITAL COSTS</t>
  </si>
  <si>
    <t>Total annual cost = Depreciation + Interest + Opex</t>
  </si>
  <si>
    <t>Distance installation to grid</t>
  </si>
  <si>
    <t>Piping costs</t>
  </si>
  <si>
    <t>Fixed cost for injection point</t>
  </si>
  <si>
    <t>Injection investment</t>
  </si>
  <si>
    <t>Cost ct/m³ = (Total annual cost ÷ 1,200,000 m³) × 100</t>
  </si>
  <si>
    <t>Total Injection Cost</t>
  </si>
  <si>
    <t>Annual depreciation</t>
  </si>
  <si>
    <t>Annual interest</t>
  </si>
  <si>
    <t>OPERATING COSTS</t>
  </si>
  <si>
    <t>Opex</t>
  </si>
  <si>
    <t>TOTAL ANNUAL COST</t>
  </si>
  <si>
    <t>Injection Cost per m³</t>
  </si>
  <si>
    <t>Injection cost</t>
  </si>
  <si>
    <t xml:space="preserve">€ct/m³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</si>
</sst>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charset val="1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9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B106-5497-4E6B-AC50-7E534DA470D2}">
  <dimension ref="A1:D21"/>
  <sheetViews>
    <sheetView workbookViewId="0">
      <selection activeCell="B10" sqref="B10"/>
    </sheetView>
  </sheetViews>
  <sheetFormatPr defaultRowHeight="14.4" x14ac:dyDescent="0.3"/>
  <cols>
    <col min="1" max="1" width="23.33203125" customWidth="1"/>
    <col min="2" max="2" width="16.6640625" customWidth="1"/>
    <col min="3" max="3" width="17.6640625" customWidth="1"/>
    <col min="4" max="4" width="5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19">
        <v>70000</v>
      </c>
      <c r="C2" t="s">
        <v>5</v>
      </c>
    </row>
    <row r="3" spans="1:4" x14ac:dyDescent="0.3">
      <c r="A3" t="s">
        <v>6</v>
      </c>
      <c r="B3">
        <v>1.5</v>
      </c>
      <c r="C3" t="s">
        <v>7</v>
      </c>
    </row>
    <row r="5" spans="1:4" x14ac:dyDescent="0.3">
      <c r="A5" t="s">
        <v>8</v>
      </c>
      <c r="B5" s="19">
        <v>250000</v>
      </c>
      <c r="C5" t="s">
        <v>9</v>
      </c>
    </row>
    <row r="6" spans="1:4" x14ac:dyDescent="0.3">
      <c r="A6" t="s">
        <v>10</v>
      </c>
      <c r="B6">
        <v>40</v>
      </c>
      <c r="C6" t="s">
        <v>11</v>
      </c>
    </row>
    <row r="7" spans="1:4" x14ac:dyDescent="0.3">
      <c r="A7" t="s">
        <v>12</v>
      </c>
      <c r="B7">
        <v>0.21</v>
      </c>
      <c r="C7" t="s">
        <v>7</v>
      </c>
    </row>
    <row r="8" spans="1:4" x14ac:dyDescent="0.3">
      <c r="A8" t="s">
        <v>13</v>
      </c>
      <c r="B8">
        <v>0.25</v>
      </c>
      <c r="C8" t="s">
        <v>7</v>
      </c>
    </row>
    <row r="9" spans="1:4" x14ac:dyDescent="0.3">
      <c r="A9" t="s">
        <v>14</v>
      </c>
      <c r="B9">
        <v>1.5</v>
      </c>
      <c r="C9" t="s">
        <v>7</v>
      </c>
    </row>
    <row r="10" spans="1:4" x14ac:dyDescent="0.3">
      <c r="A10" t="s">
        <v>15</v>
      </c>
      <c r="B10" s="19">
        <v>17021869</v>
      </c>
      <c r="C10" t="s">
        <v>16</v>
      </c>
    </row>
    <row r="12" spans="1:4" x14ac:dyDescent="0.3">
      <c r="A12" t="s">
        <v>17</v>
      </c>
      <c r="B12">
        <f>B2*10000</f>
        <v>700000000</v>
      </c>
      <c r="C12" t="s">
        <v>18</v>
      </c>
    </row>
    <row r="13" spans="1:4" x14ac:dyDescent="0.3">
      <c r="A13" t="s">
        <v>19</v>
      </c>
      <c r="B13">
        <f>SQRT(B12/PI())</f>
        <v>14927.053303604616</v>
      </c>
      <c r="C13" t="s">
        <v>20</v>
      </c>
      <c r="D13" t="s">
        <v>21</v>
      </c>
    </row>
    <row r="14" spans="1:4" x14ac:dyDescent="0.3">
      <c r="A14" t="s">
        <v>22</v>
      </c>
      <c r="B14">
        <f>B3*(2/3)*B13</f>
        <v>14927.053303604616</v>
      </c>
      <c r="C14" t="s">
        <v>20</v>
      </c>
      <c r="D14" t="s">
        <v>23</v>
      </c>
    </row>
    <row r="16" spans="1:4" x14ac:dyDescent="0.3">
      <c r="A16" t="s">
        <v>24</v>
      </c>
      <c r="B16">
        <f>B2</f>
        <v>70000</v>
      </c>
      <c r="C16" t="s">
        <v>5</v>
      </c>
      <c r="D16" t="s">
        <v>25</v>
      </c>
    </row>
    <row r="17" spans="1:4" x14ac:dyDescent="0.3">
      <c r="A17" t="s">
        <v>26</v>
      </c>
      <c r="B17">
        <f>B7*B8</f>
        <v>5.2499999999999998E-2</v>
      </c>
      <c r="D17" t="s">
        <v>27</v>
      </c>
    </row>
    <row r="18" spans="1:4" x14ac:dyDescent="0.3">
      <c r="A18" t="s">
        <v>28</v>
      </c>
      <c r="B18">
        <v>733</v>
      </c>
      <c r="C18" t="s">
        <v>5</v>
      </c>
      <c r="D18" t="s">
        <v>29</v>
      </c>
    </row>
    <row r="19" spans="1:4" x14ac:dyDescent="0.3">
      <c r="A19" t="s">
        <v>28</v>
      </c>
      <c r="B19">
        <f>B18*10000</f>
        <v>7330000</v>
      </c>
      <c r="C19" t="s">
        <v>18</v>
      </c>
      <c r="D19" t="s">
        <v>30</v>
      </c>
    </row>
    <row r="20" spans="1:4" x14ac:dyDescent="0.3">
      <c r="A20" t="s">
        <v>31</v>
      </c>
      <c r="B20">
        <f>SQRT(B19/PI())</f>
        <v>1527.4853405932201</v>
      </c>
      <c r="C20" t="s">
        <v>20</v>
      </c>
      <c r="D20" t="s">
        <v>32</v>
      </c>
    </row>
    <row r="21" spans="1:4" x14ac:dyDescent="0.3">
      <c r="A21" t="s">
        <v>33</v>
      </c>
      <c r="B21">
        <f xml:space="preserve"> B9*(2/3)*B20*((1-(B13/B20)^3)/(1-(B13/B20)^2))</f>
        <v>15068.850744187974</v>
      </c>
      <c r="C21" t="s">
        <v>20</v>
      </c>
      <c r="D21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9068-4242-4468-A0FA-4CE63A2D2DAF}">
  <dimension ref="A1:E32"/>
  <sheetViews>
    <sheetView workbookViewId="0">
      <selection activeCell="B9" sqref="B9"/>
    </sheetView>
  </sheetViews>
  <sheetFormatPr defaultRowHeight="14.4" x14ac:dyDescent="0.3"/>
  <cols>
    <col min="1" max="1" width="25.33203125" customWidth="1"/>
    <col min="2" max="3" width="15.44140625" customWidth="1"/>
    <col min="4" max="4" width="47.5546875" customWidth="1"/>
    <col min="5" max="5" width="14.88671875" customWidth="1"/>
  </cols>
  <sheetData>
    <row r="1" spans="1:4" x14ac:dyDescent="0.3">
      <c r="A1" s="1" t="s">
        <v>35</v>
      </c>
      <c r="B1" s="1" t="s">
        <v>1</v>
      </c>
      <c r="C1" s="1" t="s">
        <v>2</v>
      </c>
      <c r="D1" s="1" t="s">
        <v>36</v>
      </c>
    </row>
    <row r="2" spans="1:4" x14ac:dyDescent="0.3">
      <c r="A2" t="s">
        <v>37</v>
      </c>
      <c r="B2">
        <v>14</v>
      </c>
      <c r="C2" t="s">
        <v>38</v>
      </c>
    </row>
    <row r="3" spans="1:4" x14ac:dyDescent="0.3">
      <c r="A3" t="s">
        <v>39</v>
      </c>
      <c r="B3">
        <v>30</v>
      </c>
      <c r="C3" t="s">
        <v>38</v>
      </c>
    </row>
    <row r="4" spans="1:4" x14ac:dyDescent="0.3">
      <c r="A4" t="s">
        <v>40</v>
      </c>
      <c r="B4">
        <v>0.85</v>
      </c>
      <c r="C4" s="2" t="s">
        <v>41</v>
      </c>
    </row>
    <row r="5" spans="1:4" x14ac:dyDescent="0.3">
      <c r="A5" t="s">
        <v>42</v>
      </c>
      <c r="B5">
        <v>1.24</v>
      </c>
      <c r="C5" t="s">
        <v>41</v>
      </c>
    </row>
    <row r="6" spans="1:4" x14ac:dyDescent="0.3">
      <c r="A6" t="s">
        <v>43</v>
      </c>
      <c r="B6">
        <v>2.1</v>
      </c>
      <c r="C6" t="s">
        <v>44</v>
      </c>
    </row>
    <row r="7" spans="1:4" x14ac:dyDescent="0.3">
      <c r="A7" t="s">
        <v>45</v>
      </c>
      <c r="B7">
        <v>1.3</v>
      </c>
      <c r="C7" t="s">
        <v>44</v>
      </c>
    </row>
    <row r="9" spans="1:4" x14ac:dyDescent="0.3">
      <c r="A9" t="s">
        <v>22</v>
      </c>
      <c r="B9">
        <f>'Inputs &amp; Geometry'!B14/1000</f>
        <v>14.927053303604616</v>
      </c>
      <c r="C9" t="s">
        <v>46</v>
      </c>
    </row>
    <row r="10" spans="1:4" x14ac:dyDescent="0.3">
      <c r="A10" t="s">
        <v>33</v>
      </c>
      <c r="B10">
        <f>'Inputs &amp; Geometry'!B21/1000</f>
        <v>15.068850744187973</v>
      </c>
      <c r="C10" t="s">
        <v>46</v>
      </c>
    </row>
    <row r="12" spans="1:4" x14ac:dyDescent="0.3">
      <c r="A12" t="s">
        <v>47</v>
      </c>
      <c r="B12" s="19">
        <f>'Inputs &amp; Geometry'!B5</f>
        <v>250000</v>
      </c>
      <c r="C12" t="s">
        <v>48</v>
      </c>
    </row>
    <row r="14" spans="1:4" x14ac:dyDescent="0.3">
      <c r="A14" s="1" t="s">
        <v>49</v>
      </c>
      <c r="B14" s="1" t="s">
        <v>1</v>
      </c>
      <c r="C14" s="1" t="s">
        <v>2</v>
      </c>
    </row>
    <row r="15" spans="1:4" x14ac:dyDescent="0.3">
      <c r="A15" t="s">
        <v>50</v>
      </c>
      <c r="B15">
        <f>B12/B2</f>
        <v>17857.142857142859</v>
      </c>
      <c r="D15" t="s">
        <v>51</v>
      </c>
    </row>
    <row r="16" spans="1:4" x14ac:dyDescent="0.3">
      <c r="A16" t="s">
        <v>52</v>
      </c>
      <c r="B16">
        <f>B12*B9</f>
        <v>3731763.325901154</v>
      </c>
      <c r="C16" t="s">
        <v>53</v>
      </c>
      <c r="D16" t="s">
        <v>54</v>
      </c>
    </row>
    <row r="17" spans="1:5" x14ac:dyDescent="0.3">
      <c r="A17" t="s">
        <v>55</v>
      </c>
      <c r="B17">
        <f>B16*B6</f>
        <v>7836702.9843924241</v>
      </c>
      <c r="C17" t="s">
        <v>56</v>
      </c>
      <c r="D17" t="s">
        <v>57</v>
      </c>
    </row>
    <row r="18" spans="1:5" x14ac:dyDescent="0.3">
      <c r="A18" t="s">
        <v>40</v>
      </c>
      <c r="B18">
        <f>B15*B9*B4*2</f>
        <v>453142.68957371154</v>
      </c>
      <c r="C18" t="s">
        <v>58</v>
      </c>
      <c r="D18" t="s">
        <v>59</v>
      </c>
    </row>
    <row r="21" spans="1:5" x14ac:dyDescent="0.3">
      <c r="A21" t="s">
        <v>60</v>
      </c>
      <c r="B21">
        <f>B12/B3</f>
        <v>8333.3333333333339</v>
      </c>
      <c r="D21" t="s">
        <v>61</v>
      </c>
    </row>
    <row r="22" spans="1:5" x14ac:dyDescent="0.3">
      <c r="A22" t="s">
        <v>62</v>
      </c>
      <c r="B22">
        <f>B12*B10</f>
        <v>3767212.6860469934</v>
      </c>
      <c r="C22" t="s">
        <v>53</v>
      </c>
      <c r="D22" t="s">
        <v>63</v>
      </c>
    </row>
    <row r="23" spans="1:5" x14ac:dyDescent="0.3">
      <c r="A23" t="s">
        <v>64</v>
      </c>
      <c r="B23">
        <f>B22*B7</f>
        <v>4897376.4918610919</v>
      </c>
      <c r="C23" t="s">
        <v>56</v>
      </c>
      <c r="D23" t="s">
        <v>65</v>
      </c>
    </row>
    <row r="24" spans="1:5" x14ac:dyDescent="0.3">
      <c r="A24" t="s">
        <v>42</v>
      </c>
      <c r="B24">
        <f>B21*B10*B5*2</f>
        <v>311422.91537988477</v>
      </c>
      <c r="C24" t="s">
        <v>58</v>
      </c>
      <c r="D24" t="s">
        <v>66</v>
      </c>
    </row>
    <row r="26" spans="1:5" x14ac:dyDescent="0.3">
      <c r="A26" t="s">
        <v>67</v>
      </c>
      <c r="B26">
        <f>B17+B23</f>
        <v>12734079.476253517</v>
      </c>
      <c r="C26" t="s">
        <v>56</v>
      </c>
      <c r="D26" t="s">
        <v>68</v>
      </c>
    </row>
    <row r="27" spans="1:5" x14ac:dyDescent="0.3">
      <c r="A27" t="s">
        <v>69</v>
      </c>
      <c r="B27">
        <f>B18+B24</f>
        <v>764565.60495359637</v>
      </c>
      <c r="C27" t="s">
        <v>58</v>
      </c>
      <c r="D27" t="s">
        <v>70</v>
      </c>
    </row>
    <row r="29" spans="1:5" x14ac:dyDescent="0.3">
      <c r="A29" t="s">
        <v>71</v>
      </c>
      <c r="B29" s="19">
        <f>B12*0.3*0.93*650*0.7*0.52</f>
        <v>16502849.999999998</v>
      </c>
      <c r="C29" t="s">
        <v>16</v>
      </c>
      <c r="E29" t="s">
        <v>72</v>
      </c>
    </row>
    <row r="30" spans="1:5" x14ac:dyDescent="0.3">
      <c r="A30" s="1" t="s">
        <v>73</v>
      </c>
      <c r="B30" s="1">
        <f>B26/B29</f>
        <v>0.77162911110829457</v>
      </c>
      <c r="C30" t="s">
        <v>74</v>
      </c>
      <c r="D30" t="s">
        <v>75</v>
      </c>
    </row>
    <row r="31" spans="1:5" x14ac:dyDescent="0.3">
      <c r="A31" t="s">
        <v>76</v>
      </c>
      <c r="B31">
        <f>B27/B29</f>
        <v>4.6329307056271883E-2</v>
      </c>
      <c r="C31" t="s">
        <v>77</v>
      </c>
      <c r="D31" t="s">
        <v>78</v>
      </c>
    </row>
    <row r="32" spans="1:5" x14ac:dyDescent="0.3">
      <c r="A32" s="1" t="s">
        <v>79</v>
      </c>
      <c r="B32" s="1">
        <f>B31*100</f>
        <v>4.6329307056271887</v>
      </c>
      <c r="C32" s="1" t="s">
        <v>80</v>
      </c>
      <c r="D32" s="1" t="s">
        <v>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93BE-DE8A-4802-84B8-DDB0F2A7D810}">
  <dimension ref="A1:D10"/>
  <sheetViews>
    <sheetView workbookViewId="0">
      <selection activeCell="B10" sqref="B10"/>
    </sheetView>
  </sheetViews>
  <sheetFormatPr defaultRowHeight="14.4" x14ac:dyDescent="0.3"/>
  <cols>
    <col min="1" max="1" width="41.44140625" customWidth="1"/>
    <col min="2" max="2" width="16.6640625" customWidth="1"/>
    <col min="3" max="3" width="13.109375" customWidth="1"/>
    <col min="4" max="4" width="35.109375" customWidth="1"/>
  </cols>
  <sheetData>
    <row r="1" spans="1:4" x14ac:dyDescent="0.3">
      <c r="A1" s="1" t="s">
        <v>49</v>
      </c>
      <c r="B1" s="1" t="s">
        <v>1</v>
      </c>
      <c r="C1" s="1" t="s">
        <v>2</v>
      </c>
      <c r="D1" s="1" t="s">
        <v>3</v>
      </c>
    </row>
    <row r="2" spans="1:4" x14ac:dyDescent="0.3">
      <c r="A2" s="16" t="s">
        <v>82</v>
      </c>
      <c r="B2" s="19">
        <v>5149</v>
      </c>
    </row>
    <row r="3" spans="1:4" x14ac:dyDescent="0.3">
      <c r="A3" s="16" t="s">
        <v>83</v>
      </c>
      <c r="B3" s="19">
        <v>10</v>
      </c>
      <c r="C3" t="s">
        <v>84</v>
      </c>
    </row>
    <row r="4" spans="1:4" x14ac:dyDescent="0.3">
      <c r="A4" t="s">
        <v>85</v>
      </c>
      <c r="B4">
        <f xml:space="preserve"> B2*B3</f>
        <v>51490</v>
      </c>
      <c r="C4" t="s">
        <v>48</v>
      </c>
    </row>
    <row r="5" spans="1:4" x14ac:dyDescent="0.3">
      <c r="A5" t="s">
        <v>86</v>
      </c>
      <c r="B5">
        <v>-15</v>
      </c>
      <c r="C5" t="s">
        <v>87</v>
      </c>
    </row>
    <row r="7" spans="1:4" x14ac:dyDescent="0.3">
      <c r="A7" t="s">
        <v>88</v>
      </c>
      <c r="B7">
        <f>B4*B5</f>
        <v>-772350</v>
      </c>
      <c r="C7" t="s">
        <v>58</v>
      </c>
      <c r="D7" t="s">
        <v>89</v>
      </c>
    </row>
    <row r="8" spans="1:4" x14ac:dyDescent="0.3">
      <c r="A8" t="s">
        <v>15</v>
      </c>
      <c r="B8" s="19">
        <f>'Inputs &amp; Geometry'!B10</f>
        <v>17021869</v>
      </c>
      <c r="C8" t="s">
        <v>90</v>
      </c>
    </row>
    <row r="9" spans="1:4" x14ac:dyDescent="0.3">
      <c r="A9" t="s">
        <v>91</v>
      </c>
      <c r="B9">
        <f>B7/B8</f>
        <v>-4.537398331522819E-2</v>
      </c>
      <c r="C9" t="s">
        <v>92</v>
      </c>
      <c r="D9" t="s">
        <v>93</v>
      </c>
    </row>
    <row r="10" spans="1:4" x14ac:dyDescent="0.3">
      <c r="A10" s="1" t="s">
        <v>94</v>
      </c>
      <c r="B10" s="1">
        <f>B9*100</f>
        <v>-4.5373983315228195</v>
      </c>
      <c r="C10" s="1" t="s">
        <v>95</v>
      </c>
      <c r="D10" s="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F586-3995-472A-A829-F302E3AF57FA}">
  <dimension ref="A1:D14"/>
  <sheetViews>
    <sheetView tabSelected="1" workbookViewId="0">
      <selection activeCell="B14" sqref="B14"/>
    </sheetView>
  </sheetViews>
  <sheetFormatPr defaultRowHeight="14.4" x14ac:dyDescent="0.3"/>
  <cols>
    <col min="1" max="1" width="25.88671875" customWidth="1"/>
    <col min="2" max="2" width="15.33203125" customWidth="1"/>
    <col min="4" max="4" width="43.88671875" customWidth="1"/>
  </cols>
  <sheetData>
    <row r="1" spans="1:4" x14ac:dyDescent="0.3">
      <c r="A1" t="s">
        <v>49</v>
      </c>
      <c r="B1" t="s">
        <v>1</v>
      </c>
      <c r="C1" t="s">
        <v>2</v>
      </c>
      <c r="D1" t="s">
        <v>3</v>
      </c>
    </row>
    <row r="2" spans="1:4" x14ac:dyDescent="0.3">
      <c r="A2" t="s">
        <v>97</v>
      </c>
      <c r="B2">
        <f>'Digester Biogas'!B3</f>
        <v>250000</v>
      </c>
      <c r="C2" t="s">
        <v>48</v>
      </c>
    </row>
    <row r="3" spans="1:4" x14ac:dyDescent="0.3">
      <c r="A3" t="s">
        <v>98</v>
      </c>
      <c r="B3">
        <v>13.5</v>
      </c>
      <c r="C3" t="s">
        <v>87</v>
      </c>
    </row>
    <row r="5" spans="1:4" x14ac:dyDescent="0.3">
      <c r="A5" t="s">
        <v>99</v>
      </c>
      <c r="B5">
        <f>B2*B3</f>
        <v>3375000</v>
      </c>
      <c r="C5" t="s">
        <v>58</v>
      </c>
      <c r="D5" t="s">
        <v>100</v>
      </c>
    </row>
    <row r="6" spans="1:4" x14ac:dyDescent="0.3">
      <c r="A6" t="s">
        <v>15</v>
      </c>
      <c r="B6" s="19">
        <f>'Inputs &amp; Geometry'!B10</f>
        <v>17021869</v>
      </c>
      <c r="C6" t="s">
        <v>90</v>
      </c>
    </row>
    <row r="7" spans="1:4" x14ac:dyDescent="0.3">
      <c r="A7" t="s">
        <v>101</v>
      </c>
      <c r="B7">
        <f>B5/B6</f>
        <v>0.19827434930911522</v>
      </c>
      <c r="C7" t="s">
        <v>92</v>
      </c>
      <c r="D7" t="s">
        <v>102</v>
      </c>
    </row>
    <row r="8" spans="1:4" x14ac:dyDescent="0.3">
      <c r="A8" s="1" t="s">
        <v>103</v>
      </c>
      <c r="B8" s="1">
        <f>B7*100</f>
        <v>19.827434930911522</v>
      </c>
      <c r="C8" s="1" t="s">
        <v>104</v>
      </c>
      <c r="D8" s="1" t="s">
        <v>105</v>
      </c>
    </row>
    <row r="10" spans="1:4" x14ac:dyDescent="0.3">
      <c r="A10" t="s">
        <v>106</v>
      </c>
      <c r="B10">
        <v>37</v>
      </c>
      <c r="C10" t="s">
        <v>107</v>
      </c>
    </row>
    <row r="12" spans="1:4" x14ac:dyDescent="0.3">
      <c r="A12" t="s">
        <v>108</v>
      </c>
      <c r="B12">
        <f>B2*B10</f>
        <v>9250000</v>
      </c>
      <c r="C12" t="s">
        <v>56</v>
      </c>
      <c r="D12" t="s">
        <v>109</v>
      </c>
    </row>
    <row r="13" spans="1:4" x14ac:dyDescent="0.3">
      <c r="A13" t="s">
        <v>15</v>
      </c>
      <c r="B13" s="19">
        <f>'Inputs &amp; Geometry'!B10</f>
        <v>17021869</v>
      </c>
      <c r="C13" t="s">
        <v>90</v>
      </c>
    </row>
    <row r="14" spans="1:4" x14ac:dyDescent="0.3">
      <c r="A14" s="1" t="s">
        <v>110</v>
      </c>
      <c r="B14" s="1">
        <f>B12/B13</f>
        <v>0.54341858699535284</v>
      </c>
      <c r="C14" s="1" t="s">
        <v>111</v>
      </c>
      <c r="D14" s="1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5692-6D99-42E8-866D-8B360305D7B6}">
  <dimension ref="A1:E23"/>
  <sheetViews>
    <sheetView workbookViewId="0">
      <selection activeCell="B19" sqref="B19"/>
    </sheetView>
  </sheetViews>
  <sheetFormatPr defaultRowHeight="14.4" x14ac:dyDescent="0.3"/>
  <cols>
    <col min="1" max="1" width="26" customWidth="1"/>
    <col min="2" max="2" width="18.109375" customWidth="1"/>
    <col min="3" max="3" width="17.5546875" customWidth="1"/>
    <col min="4" max="4" width="46.33203125" customWidth="1"/>
    <col min="5" max="5" width="16.44140625" customWidth="1"/>
  </cols>
  <sheetData>
    <row r="1" spans="1:4" x14ac:dyDescent="0.3">
      <c r="A1" s="1" t="s">
        <v>49</v>
      </c>
      <c r="B1" s="1" t="s">
        <v>1</v>
      </c>
      <c r="C1" s="1" t="s">
        <v>2</v>
      </c>
      <c r="D1" s="1" t="s">
        <v>3</v>
      </c>
    </row>
    <row r="3" spans="1:4" x14ac:dyDescent="0.3">
      <c r="A3" t="s">
        <v>39</v>
      </c>
      <c r="B3">
        <v>30</v>
      </c>
      <c r="C3" t="s">
        <v>38</v>
      </c>
    </row>
    <row r="4" spans="1:4" x14ac:dyDescent="0.3">
      <c r="A4" t="s">
        <v>42</v>
      </c>
      <c r="B4">
        <v>1.24</v>
      </c>
      <c r="C4" t="s">
        <v>113</v>
      </c>
    </row>
    <row r="5" spans="1:4" x14ac:dyDescent="0.3">
      <c r="A5" t="s">
        <v>64</v>
      </c>
      <c r="B5">
        <v>1.3</v>
      </c>
      <c r="C5" t="s">
        <v>114</v>
      </c>
    </row>
    <row r="7" spans="1:4" x14ac:dyDescent="0.3">
      <c r="A7" t="s">
        <v>115</v>
      </c>
      <c r="B7" s="19">
        <f>Manure!B3</f>
        <v>10</v>
      </c>
      <c r="C7" s="3" t="s">
        <v>84</v>
      </c>
    </row>
    <row r="8" spans="1:4" x14ac:dyDescent="0.3">
      <c r="A8" t="s">
        <v>116</v>
      </c>
      <c r="B8" s="19">
        <f>Manure!B2</f>
        <v>5149</v>
      </c>
      <c r="C8" s="3"/>
    </row>
    <row r="9" spans="1:4" x14ac:dyDescent="0.3">
      <c r="A9" t="s">
        <v>117</v>
      </c>
      <c r="B9">
        <f>B7*B8</f>
        <v>51490</v>
      </c>
      <c r="C9" t="s">
        <v>48</v>
      </c>
      <c r="D9" t="s">
        <v>118</v>
      </c>
    </row>
    <row r="11" spans="1:4" x14ac:dyDescent="0.3">
      <c r="A11" t="s">
        <v>22</v>
      </c>
      <c r="B11">
        <f>'Inputs &amp; Geometry'!B14/1000</f>
        <v>14.927053303604616</v>
      </c>
    </row>
    <row r="12" spans="1:4" x14ac:dyDescent="0.3">
      <c r="A12" t="s">
        <v>33</v>
      </c>
      <c r="B12">
        <f>'Inputs &amp; Geometry'!B21/1000</f>
        <v>15.068850744187973</v>
      </c>
      <c r="C12" t="s">
        <v>46</v>
      </c>
    </row>
    <row r="14" spans="1:4" x14ac:dyDescent="0.3">
      <c r="A14" t="s">
        <v>60</v>
      </c>
      <c r="B14">
        <f>B9/B3</f>
        <v>1716.3333333333333</v>
      </c>
      <c r="C14" t="s">
        <v>119</v>
      </c>
      <c r="D14" t="s">
        <v>120</v>
      </c>
    </row>
    <row r="15" spans="1:4" x14ac:dyDescent="0.3">
      <c r="A15" t="s">
        <v>62</v>
      </c>
      <c r="B15">
        <f>B9*B12</f>
        <v>775895.12481823878</v>
      </c>
      <c r="C15" t="s">
        <v>121</v>
      </c>
      <c r="D15" t="s">
        <v>122</v>
      </c>
    </row>
    <row r="16" spans="1:4" x14ac:dyDescent="0.3">
      <c r="A16" t="s">
        <v>123</v>
      </c>
      <c r="B16">
        <f>B15*B5</f>
        <v>1008663.6622637104</v>
      </c>
      <c r="C16" t="s">
        <v>56</v>
      </c>
      <c r="D16" t="s">
        <v>124</v>
      </c>
    </row>
    <row r="17" spans="1:5" x14ac:dyDescent="0.3">
      <c r="A17" t="s">
        <v>125</v>
      </c>
      <c r="B17">
        <f>B14*B12*B4*2</f>
        <v>64140.663651641058</v>
      </c>
      <c r="C17" t="s">
        <v>58</v>
      </c>
      <c r="D17" t="s">
        <v>126</v>
      </c>
    </row>
    <row r="19" spans="1:5" x14ac:dyDescent="0.3">
      <c r="A19" t="s">
        <v>15</v>
      </c>
      <c r="B19" s="19">
        <f>B9*0.12*0.8*250*0.7*0.6</f>
        <v>519019.20000000007</v>
      </c>
      <c r="C19" t="s">
        <v>90</v>
      </c>
      <c r="E19" t="s">
        <v>127</v>
      </c>
    </row>
    <row r="21" spans="1:5" x14ac:dyDescent="0.3">
      <c r="A21" s="1" t="s">
        <v>128</v>
      </c>
      <c r="B21" s="1">
        <f>B16/B19</f>
        <v>1.9434033697861473</v>
      </c>
      <c r="C21" t="s">
        <v>111</v>
      </c>
      <c r="D21" t="s">
        <v>129</v>
      </c>
    </row>
    <row r="22" spans="1:5" x14ac:dyDescent="0.3">
      <c r="A22" t="s">
        <v>130</v>
      </c>
      <c r="B22">
        <f>B17/B19</f>
        <v>0.12358052197614472</v>
      </c>
      <c r="C22" t="s">
        <v>92</v>
      </c>
      <c r="D22" t="s">
        <v>131</v>
      </c>
    </row>
    <row r="23" spans="1:5" x14ac:dyDescent="0.3">
      <c r="A23" s="1" t="s">
        <v>130</v>
      </c>
      <c r="B23" s="1">
        <f>B22*100</f>
        <v>12.358052197614471</v>
      </c>
      <c r="C23" s="1" t="s">
        <v>80</v>
      </c>
      <c r="D23" s="1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1AD9-F723-4214-99FC-1211E5881578}">
  <dimension ref="A1:C21"/>
  <sheetViews>
    <sheetView topLeftCell="A6" workbookViewId="0">
      <selection activeCell="A19" sqref="A19:B19"/>
    </sheetView>
  </sheetViews>
  <sheetFormatPr defaultRowHeight="14.4" x14ac:dyDescent="0.3"/>
  <cols>
    <col min="1" max="1" width="29.33203125" customWidth="1"/>
    <col min="2" max="2" width="18" customWidth="1"/>
    <col min="3" max="3" width="17.109375" customWidth="1"/>
    <col min="8" max="8" width="16" customWidth="1"/>
  </cols>
  <sheetData>
    <row r="1" spans="1:3" x14ac:dyDescent="0.3">
      <c r="A1" s="1" t="s">
        <v>49</v>
      </c>
      <c r="B1" s="1" t="s">
        <v>1</v>
      </c>
      <c r="C1" s="1" t="s">
        <v>2</v>
      </c>
    </row>
    <row r="3" spans="1:3" x14ac:dyDescent="0.3">
      <c r="A3" t="s">
        <v>39</v>
      </c>
      <c r="B3">
        <v>30</v>
      </c>
      <c r="C3" t="s">
        <v>38</v>
      </c>
    </row>
    <row r="4" spans="1:3" x14ac:dyDescent="0.3">
      <c r="A4" t="s">
        <v>42</v>
      </c>
      <c r="B4">
        <v>1.24</v>
      </c>
      <c r="C4" t="s">
        <v>113</v>
      </c>
    </row>
    <row r="5" spans="1:3" x14ac:dyDescent="0.3">
      <c r="A5" t="s">
        <v>64</v>
      </c>
      <c r="B5">
        <v>1.3</v>
      </c>
      <c r="C5" t="s">
        <v>114</v>
      </c>
    </row>
    <row r="7" spans="1:3" x14ac:dyDescent="0.3">
      <c r="A7" t="s">
        <v>133</v>
      </c>
      <c r="B7" s="19">
        <f>'Maize Transport'!B12</f>
        <v>250000</v>
      </c>
      <c r="C7" t="s">
        <v>48</v>
      </c>
    </row>
    <row r="8" spans="1:3" x14ac:dyDescent="0.3">
      <c r="A8" t="s">
        <v>134</v>
      </c>
      <c r="B8" s="19">
        <f>'Manure Transport'!B9</f>
        <v>51490</v>
      </c>
      <c r="C8" t="s">
        <v>48</v>
      </c>
    </row>
    <row r="9" spans="1:3" x14ac:dyDescent="0.3">
      <c r="A9" t="s">
        <v>135</v>
      </c>
      <c r="B9">
        <f>B7+B8</f>
        <v>301490</v>
      </c>
      <c r="C9" t="s">
        <v>48</v>
      </c>
    </row>
    <row r="11" spans="1:3" x14ac:dyDescent="0.3">
      <c r="A11" t="s">
        <v>136</v>
      </c>
      <c r="B11" s="19">
        <f>'Inputs &amp; Geometry'!B21/1000</f>
        <v>15.068850744187973</v>
      </c>
    </row>
    <row r="13" spans="1:3" x14ac:dyDescent="0.3">
      <c r="A13" t="s">
        <v>137</v>
      </c>
      <c r="B13">
        <f>B9/B3</f>
        <v>10049.666666666666</v>
      </c>
    </row>
    <row r="14" spans="1:3" x14ac:dyDescent="0.3">
      <c r="A14" t="s">
        <v>138</v>
      </c>
      <c r="B14">
        <f>B9*B11</f>
        <v>4543107.8108652318</v>
      </c>
    </row>
    <row r="15" spans="1:3" x14ac:dyDescent="0.3">
      <c r="A15" t="s">
        <v>139</v>
      </c>
      <c r="B15">
        <f>B14*B5</f>
        <v>5906040.154124802</v>
      </c>
    </row>
    <row r="16" spans="1:3" x14ac:dyDescent="0.3">
      <c r="A16" t="s">
        <v>140</v>
      </c>
      <c r="B16">
        <f>B13*B11*B4*2</f>
        <v>375563.57903152582</v>
      </c>
    </row>
    <row r="18" spans="1:3" x14ac:dyDescent="0.3">
      <c r="A18" t="s">
        <v>15</v>
      </c>
      <c r="B18" s="19">
        <f>'Inputs &amp; Geometry'!B10</f>
        <v>17021869</v>
      </c>
    </row>
    <row r="19" spans="1:3" x14ac:dyDescent="0.3">
      <c r="A19" s="1" t="s">
        <v>141</v>
      </c>
      <c r="B19" s="1">
        <f>B15/B18</f>
        <v>0.34696778327484495</v>
      </c>
    </row>
    <row r="20" spans="1:3" x14ac:dyDescent="0.3">
      <c r="A20" t="s">
        <v>142</v>
      </c>
      <c r="B20">
        <f>B16/B18</f>
        <v>2.2063592372349113E-2</v>
      </c>
    </row>
    <row r="21" spans="1:3" x14ac:dyDescent="0.3">
      <c r="A21" s="1" t="s">
        <v>142</v>
      </c>
      <c r="B21" s="1">
        <f>B20*100</f>
        <v>2.2063592372349112</v>
      </c>
      <c r="C21" s="1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5904-6F66-4777-8FB4-3EC19CEC408B}">
  <dimension ref="A1:C13"/>
  <sheetViews>
    <sheetView workbookViewId="0">
      <selection activeCell="B6" sqref="B6"/>
    </sheetView>
  </sheetViews>
  <sheetFormatPr defaultRowHeight="14.4" x14ac:dyDescent="0.3"/>
  <cols>
    <col min="1" max="1" width="28.33203125" customWidth="1"/>
    <col min="2" max="2" width="25.88671875" customWidth="1"/>
  </cols>
  <sheetData>
    <row r="1" spans="1:3" x14ac:dyDescent="0.3">
      <c r="A1" s="1" t="s">
        <v>49</v>
      </c>
      <c r="B1" s="1" t="s">
        <v>1</v>
      </c>
      <c r="C1" s="1" t="s">
        <v>2</v>
      </c>
    </row>
    <row r="2" spans="1:3" x14ac:dyDescent="0.3">
      <c r="A2" t="s">
        <v>143</v>
      </c>
      <c r="B2" s="19">
        <f>'Manure Transport'!B9</f>
        <v>51490</v>
      </c>
      <c r="C2" t="s">
        <v>48</v>
      </c>
    </row>
    <row r="3" spans="1:3" x14ac:dyDescent="0.3">
      <c r="A3" t="s">
        <v>144</v>
      </c>
      <c r="B3" s="19">
        <f>'Maize Transport'!B12</f>
        <v>250000</v>
      </c>
      <c r="C3" t="s">
        <v>48</v>
      </c>
    </row>
    <row r="5" spans="1:3" x14ac:dyDescent="0.3">
      <c r="A5" t="s">
        <v>145</v>
      </c>
      <c r="B5" s="19">
        <f>0.12*0.8*250*0.7</f>
        <v>16.799999999999997</v>
      </c>
      <c r="C5" t="s">
        <v>146</v>
      </c>
    </row>
    <row r="6" spans="1:3" x14ac:dyDescent="0.3">
      <c r="A6" t="s">
        <v>147</v>
      </c>
      <c r="B6" s="19">
        <f>0.3*0.93*650*0.7</f>
        <v>126.94500000000001</v>
      </c>
      <c r="C6" t="s">
        <v>146</v>
      </c>
    </row>
    <row r="8" spans="1:3" x14ac:dyDescent="0.3">
      <c r="A8" t="s">
        <v>148</v>
      </c>
      <c r="B8">
        <f>B2*B5</f>
        <v>865031.99999999988</v>
      </c>
      <c r="C8" t="s">
        <v>149</v>
      </c>
    </row>
    <row r="9" spans="1:3" x14ac:dyDescent="0.3">
      <c r="A9" t="s">
        <v>150</v>
      </c>
      <c r="B9">
        <f>B3*B6</f>
        <v>31736250</v>
      </c>
      <c r="C9" t="s">
        <v>149</v>
      </c>
    </row>
    <row r="10" spans="1:3" x14ac:dyDescent="0.3">
      <c r="A10" t="s">
        <v>151</v>
      </c>
      <c r="B10">
        <f>B8+B9</f>
        <v>32601282</v>
      </c>
      <c r="C10" t="s">
        <v>149</v>
      </c>
    </row>
    <row r="12" spans="1:3" x14ac:dyDescent="0.3">
      <c r="A12" t="s">
        <v>152</v>
      </c>
      <c r="B12">
        <v>0.55600000000000005</v>
      </c>
    </row>
    <row r="13" spans="1:3" x14ac:dyDescent="0.3">
      <c r="A13" t="s">
        <v>153</v>
      </c>
      <c r="B13">
        <f>B10*B12</f>
        <v>18126312.792000003</v>
      </c>
      <c r="C1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97AF-8541-4870-81C5-A8543FDB5F37}">
  <dimension ref="A1:C8"/>
  <sheetViews>
    <sheetView workbookViewId="0">
      <selection activeCell="B8" sqref="B8"/>
    </sheetView>
  </sheetViews>
  <sheetFormatPr defaultRowHeight="14.4" x14ac:dyDescent="0.3"/>
  <cols>
    <col min="1" max="1" width="24.44140625" customWidth="1"/>
    <col min="2" max="2" width="17.33203125" customWidth="1"/>
    <col min="3" max="3" width="16.33203125" customWidth="1"/>
  </cols>
  <sheetData>
    <row r="1" spans="1:3" x14ac:dyDescent="0.3">
      <c r="A1" t="s">
        <v>49</v>
      </c>
      <c r="B1" t="s">
        <v>1</v>
      </c>
      <c r="C1" t="s">
        <v>2</v>
      </c>
    </row>
    <row r="2" spans="1:3" x14ac:dyDescent="0.3">
      <c r="A2" t="s">
        <v>154</v>
      </c>
      <c r="B2" s="19">
        <f>'Digester Biogas'!B2 + 'Digester Biogas'!B3</f>
        <v>301490</v>
      </c>
      <c r="C2" t="s">
        <v>48</v>
      </c>
    </row>
    <row r="3" spans="1:3" x14ac:dyDescent="0.3">
      <c r="A3" t="s">
        <v>155</v>
      </c>
      <c r="B3">
        <v>3</v>
      </c>
      <c r="C3" t="s">
        <v>87</v>
      </c>
    </row>
    <row r="5" spans="1:3" x14ac:dyDescent="0.3">
      <c r="A5" t="s">
        <v>156</v>
      </c>
      <c r="B5">
        <f>B2*B3</f>
        <v>904470</v>
      </c>
      <c r="C5" t="s">
        <v>58</v>
      </c>
    </row>
    <row r="6" spans="1:3" x14ac:dyDescent="0.3">
      <c r="A6" t="s">
        <v>15</v>
      </c>
      <c r="B6" s="19">
        <f>'Inputs &amp; Geometry'!B10</f>
        <v>17021869</v>
      </c>
      <c r="C6" t="s">
        <v>90</v>
      </c>
    </row>
    <row r="7" spans="1:3" x14ac:dyDescent="0.3">
      <c r="A7" t="s">
        <v>157</v>
      </c>
      <c r="B7">
        <f>B5/B6</f>
        <v>5.3135763176182356E-2</v>
      </c>
      <c r="C7" t="s">
        <v>92</v>
      </c>
    </row>
    <row r="8" spans="1:3" x14ac:dyDescent="0.3">
      <c r="A8" s="1" t="s">
        <v>158</v>
      </c>
      <c r="B8" s="1">
        <f>B7*100</f>
        <v>5.313576317618236</v>
      </c>
      <c r="C8" s="1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9A17A-90FE-4380-8C6D-6C013D90C331}">
  <dimension ref="A1:H31"/>
  <sheetViews>
    <sheetView workbookViewId="0">
      <selection activeCell="F18" sqref="F18:G18"/>
    </sheetView>
  </sheetViews>
  <sheetFormatPr defaultRowHeight="15" customHeight="1" x14ac:dyDescent="0.3"/>
  <cols>
    <col min="1" max="1" width="35.33203125" customWidth="1"/>
    <col min="2" max="2" width="19.88671875" customWidth="1"/>
    <col min="3" max="3" width="18.6640625" customWidth="1"/>
    <col min="4" max="4" width="26.5546875" customWidth="1"/>
    <col min="5" max="5" width="35.109375" customWidth="1"/>
    <col min="6" max="6" width="45.5546875" customWidth="1"/>
    <col min="7" max="8" width="30" customWidth="1"/>
    <col min="9" max="9" width="27.44140625" customWidth="1"/>
  </cols>
  <sheetData>
    <row r="1" spans="1:8" ht="14.4" x14ac:dyDescent="0.3">
      <c r="A1" s="1" t="s">
        <v>49</v>
      </c>
      <c r="B1" s="1" t="s">
        <v>1</v>
      </c>
      <c r="C1" s="1" t="s">
        <v>2</v>
      </c>
      <c r="D1" s="1"/>
      <c r="E1" t="s">
        <v>159</v>
      </c>
      <c r="G1" t="s">
        <v>160</v>
      </c>
      <c r="H1" t="s">
        <v>2</v>
      </c>
    </row>
    <row r="2" spans="1:8" ht="14.4" x14ac:dyDescent="0.3">
      <c r="A2" t="s">
        <v>161</v>
      </c>
      <c r="B2">
        <v>8000</v>
      </c>
      <c r="C2" t="s">
        <v>162</v>
      </c>
      <c r="E2" t="s">
        <v>163</v>
      </c>
      <c r="F2" t="s">
        <v>164</v>
      </c>
    </row>
    <row r="3" spans="1:8" ht="14.4" x14ac:dyDescent="0.3"/>
    <row r="4" spans="1:8" ht="14.4" x14ac:dyDescent="0.3">
      <c r="A4" t="s">
        <v>165</v>
      </c>
      <c r="B4">
        <v>32601282</v>
      </c>
      <c r="C4" t="s">
        <v>90</v>
      </c>
    </row>
    <row r="5" spans="1:8" ht="14.4" x14ac:dyDescent="0.3">
      <c r="A5" t="s">
        <v>165</v>
      </c>
      <c r="B5">
        <f xml:space="preserve"> B4/8000</f>
        <v>4075.1602499999999</v>
      </c>
      <c r="C5" t="s">
        <v>166</v>
      </c>
    </row>
    <row r="6" spans="1:8" ht="14.4" x14ac:dyDescent="0.3">
      <c r="A6" t="s">
        <v>167</v>
      </c>
      <c r="B6">
        <v>17021869.199999999</v>
      </c>
      <c r="C6" t="s">
        <v>90</v>
      </c>
      <c r="E6" t="s">
        <v>168</v>
      </c>
      <c r="F6" t="s">
        <v>169</v>
      </c>
    </row>
    <row r="7" spans="1:8" ht="14.4" x14ac:dyDescent="0.3">
      <c r="E7" t="s">
        <v>170</v>
      </c>
    </row>
    <row r="8" spans="1:8" ht="14.4" x14ac:dyDescent="0.3">
      <c r="A8" t="s">
        <v>171</v>
      </c>
      <c r="B8" s="5">
        <v>2025000</v>
      </c>
      <c r="C8" t="s">
        <v>172</v>
      </c>
      <c r="D8" t="s">
        <v>173</v>
      </c>
      <c r="E8" t="s">
        <v>174</v>
      </c>
      <c r="F8" s="10" t="s">
        <v>175</v>
      </c>
      <c r="G8" s="10" t="s">
        <v>176</v>
      </c>
    </row>
    <row r="9" spans="1:8" ht="14.4" x14ac:dyDescent="0.3">
      <c r="A9" t="s">
        <v>177</v>
      </c>
      <c r="B9">
        <f xml:space="preserve"> 0.0082 * (B5^0.9042) * 10^6</f>
        <v>15069772.025318889</v>
      </c>
      <c r="C9" t="s">
        <v>172</v>
      </c>
      <c r="F9" s="10" t="s">
        <v>175</v>
      </c>
      <c r="G9" s="10" t="s">
        <v>178</v>
      </c>
    </row>
    <row r="10" spans="1:8" ht="14.4" x14ac:dyDescent="0.3">
      <c r="E10" t="s">
        <v>179</v>
      </c>
      <c r="F10" s="10" t="s">
        <v>175</v>
      </c>
      <c r="G10" s="10">
        <v>83.6</v>
      </c>
      <c r="H10" t="s">
        <v>111</v>
      </c>
    </row>
    <row r="11" spans="1:8" ht="14.4" x14ac:dyDescent="0.3">
      <c r="A11" t="s">
        <v>180</v>
      </c>
      <c r="B11">
        <v>12</v>
      </c>
      <c r="C11" t="s">
        <v>181</v>
      </c>
      <c r="E11" t="s">
        <v>182</v>
      </c>
    </row>
    <row r="12" spans="1:8" ht="14.4" x14ac:dyDescent="0.3">
      <c r="A12" t="s">
        <v>183</v>
      </c>
      <c r="B12" s="17">
        <v>0.05</v>
      </c>
    </row>
    <row r="13" spans="1:8" ht="14.4" x14ac:dyDescent="0.3">
      <c r="F13" s="10" t="s">
        <v>184</v>
      </c>
      <c r="G13" s="10">
        <v>70</v>
      </c>
      <c r="H13" t="s">
        <v>185</v>
      </c>
    </row>
    <row r="14" spans="1:8" ht="14.4" x14ac:dyDescent="0.3">
      <c r="A14" t="s">
        <v>186</v>
      </c>
      <c r="B14">
        <f>B9/B11</f>
        <v>1255814.3354432408</v>
      </c>
      <c r="C14" t="s">
        <v>58</v>
      </c>
      <c r="F14" s="10" t="s">
        <v>187</v>
      </c>
      <c r="G14" s="10">
        <f xml:space="preserve"> G10 / G13</f>
        <v>1.1942857142857142</v>
      </c>
      <c r="H14" t="s">
        <v>111</v>
      </c>
    </row>
    <row r="15" spans="1:8" ht="14.4" x14ac:dyDescent="0.3">
      <c r="A15" t="s">
        <v>188</v>
      </c>
      <c r="B15">
        <f xml:space="preserve"> B9*B12</f>
        <v>753488.60126594454</v>
      </c>
      <c r="C15" t="s">
        <v>58</v>
      </c>
      <c r="F15" s="10" t="s">
        <v>189</v>
      </c>
      <c r="G15" s="10">
        <v>0.03</v>
      </c>
      <c r="H15" t="s">
        <v>111</v>
      </c>
    </row>
    <row r="16" spans="1:8" ht="14.4" x14ac:dyDescent="0.3">
      <c r="F16" s="10" t="s">
        <v>190</v>
      </c>
      <c r="G16" s="10">
        <v>1.4999999999999999E-2</v>
      </c>
      <c r="H16" s="18" t="s">
        <v>111</v>
      </c>
    </row>
    <row r="17" spans="1:8" ht="14.4" x14ac:dyDescent="0.3">
      <c r="A17" t="s">
        <v>191</v>
      </c>
      <c r="B17">
        <f xml:space="preserve"> B14 + B15</f>
        <v>2009302.9367091854</v>
      </c>
      <c r="C17" t="s">
        <v>58</v>
      </c>
    </row>
    <row r="18" spans="1:8" ht="15" customHeight="1" x14ac:dyDescent="0.3">
      <c r="F18" s="15" t="s">
        <v>192</v>
      </c>
      <c r="G18" s="1">
        <f xml:space="preserve"> G14+G15+G16</f>
        <v>1.2392857142857141</v>
      </c>
      <c r="H18" t="s">
        <v>111</v>
      </c>
    </row>
    <row r="19" spans="1:8" ht="14.4" x14ac:dyDescent="0.3">
      <c r="A19" t="s">
        <v>193</v>
      </c>
      <c r="B19">
        <f xml:space="preserve"> B17 / B6</f>
        <v>0.11804243782517054</v>
      </c>
      <c r="C19" t="s">
        <v>194</v>
      </c>
    </row>
    <row r="20" spans="1:8" ht="14.4" x14ac:dyDescent="0.3">
      <c r="A20" s="1" t="s">
        <v>193</v>
      </c>
      <c r="B20" s="1">
        <f>B19*100</f>
        <v>11.804243782517055</v>
      </c>
      <c r="C20" t="s">
        <v>104</v>
      </c>
    </row>
    <row r="21" spans="1:8" ht="14.4" x14ac:dyDescent="0.3"/>
    <row r="22" spans="1:8" ht="14.4" x14ac:dyDescent="0.3"/>
    <row r="23" spans="1:8" ht="14.4" x14ac:dyDescent="0.3"/>
    <row r="25" spans="1:8" ht="14.4" x14ac:dyDescent="0.3"/>
    <row r="26" spans="1:8" ht="14.4" x14ac:dyDescent="0.3"/>
    <row r="27" spans="1:8" ht="14.4" x14ac:dyDescent="0.3"/>
    <row r="29" spans="1:8" ht="14.4" x14ac:dyDescent="0.3"/>
    <row r="31" spans="1:8" ht="14.4" x14ac:dyDescent="0.3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CCDD-F1D9-49FD-A12A-D5C858B71A0C}">
  <dimension ref="A1:E83"/>
  <sheetViews>
    <sheetView topLeftCell="A79" workbookViewId="0">
      <selection activeCell="B49" sqref="B49"/>
    </sheetView>
  </sheetViews>
  <sheetFormatPr defaultRowHeight="14.4" x14ac:dyDescent="0.3"/>
  <cols>
    <col min="1" max="1" width="26.33203125" bestFit="1" customWidth="1"/>
    <col min="2" max="2" width="30.33203125" bestFit="1" customWidth="1"/>
    <col min="4" max="4" width="30.6640625" bestFit="1" customWidth="1"/>
  </cols>
  <sheetData>
    <row r="1" spans="1:4" x14ac:dyDescent="0.3">
      <c r="A1" s="1" t="s">
        <v>35</v>
      </c>
      <c r="B1" s="1" t="s">
        <v>1</v>
      </c>
      <c r="C1" s="1" t="s">
        <v>2</v>
      </c>
      <c r="D1" s="1" t="s">
        <v>195</v>
      </c>
    </row>
    <row r="2" spans="1:4" x14ac:dyDescent="0.3">
      <c r="A2" t="s">
        <v>196</v>
      </c>
      <c r="B2" s="19">
        <v>6</v>
      </c>
      <c r="C2" t="s">
        <v>197</v>
      </c>
    </row>
    <row r="3" spans="1:4" x14ac:dyDescent="0.3">
      <c r="A3" t="s">
        <v>198</v>
      </c>
      <c r="B3" s="19">
        <f>Digester!B5/6</f>
        <v>679.19337499999995</v>
      </c>
      <c r="C3" t="s">
        <v>199</v>
      </c>
    </row>
    <row r="4" spans="1:4" x14ac:dyDescent="0.3">
      <c r="A4" t="s">
        <v>200</v>
      </c>
      <c r="B4" s="19">
        <f>SQRT(700/22*7)</f>
        <v>14.92405014489273</v>
      </c>
      <c r="C4" t="s">
        <v>201</v>
      </c>
    </row>
    <row r="5" spans="1:4" x14ac:dyDescent="0.3">
      <c r="A5" t="s">
        <v>202</v>
      </c>
      <c r="B5">
        <v>110</v>
      </c>
      <c r="C5" t="s">
        <v>203</v>
      </c>
    </row>
    <row r="6" spans="1:4" x14ac:dyDescent="0.3">
      <c r="A6" t="s">
        <v>204</v>
      </c>
      <c r="B6">
        <v>0.6</v>
      </c>
      <c r="C6" t="s">
        <v>197</v>
      </c>
    </row>
    <row r="7" spans="1:4" x14ac:dyDescent="0.3">
      <c r="A7" t="s">
        <v>205</v>
      </c>
      <c r="B7">
        <v>0.4</v>
      </c>
      <c r="C7" t="s">
        <v>197</v>
      </c>
    </row>
    <row r="8" spans="1:4" x14ac:dyDescent="0.3">
      <c r="A8" t="s">
        <v>206</v>
      </c>
      <c r="B8">
        <v>40</v>
      </c>
      <c r="C8" t="s">
        <v>207</v>
      </c>
    </row>
    <row r="9" spans="1:4" x14ac:dyDescent="0.3">
      <c r="A9" t="s">
        <v>208</v>
      </c>
      <c r="B9">
        <v>160</v>
      </c>
      <c r="C9" t="s">
        <v>207</v>
      </c>
    </row>
    <row r="10" spans="1:4" x14ac:dyDescent="0.3">
      <c r="A10" t="s">
        <v>209</v>
      </c>
      <c r="B10">
        <f>B2-1</f>
        <v>5</v>
      </c>
      <c r="C10" t="s">
        <v>197</v>
      </c>
      <c r="D10" t="s">
        <v>210</v>
      </c>
    </row>
    <row r="11" spans="1:4" x14ac:dyDescent="0.3">
      <c r="A11" t="s">
        <v>211</v>
      </c>
      <c r="B11">
        <v>0.14000000000000001</v>
      </c>
      <c r="C11" t="s">
        <v>212</v>
      </c>
    </row>
    <row r="13" spans="1:4" x14ac:dyDescent="0.3">
      <c r="A13" s="1" t="s">
        <v>213</v>
      </c>
    </row>
    <row r="14" spans="1:4" x14ac:dyDescent="0.3">
      <c r="A14" t="s">
        <v>214</v>
      </c>
      <c r="B14">
        <f>2*B4</f>
        <v>29.84810028978546</v>
      </c>
      <c r="C14" t="s">
        <v>201</v>
      </c>
      <c r="D14" t="s">
        <v>215</v>
      </c>
    </row>
    <row r="15" spans="1:4" x14ac:dyDescent="0.3">
      <c r="A15" t="s">
        <v>216</v>
      </c>
      <c r="B15">
        <f>B14*B10</f>
        <v>149.24050144892729</v>
      </c>
      <c r="C15" t="s">
        <v>201</v>
      </c>
      <c r="D15" t="s">
        <v>217</v>
      </c>
    </row>
    <row r="16" spans="1:4" x14ac:dyDescent="0.3">
      <c r="A16" t="s">
        <v>218</v>
      </c>
      <c r="B16">
        <f>B15*1000</f>
        <v>149240.5014489273</v>
      </c>
      <c r="C16" t="s">
        <v>20</v>
      </c>
      <c r="D16" t="s">
        <v>219</v>
      </c>
    </row>
    <row r="17" spans="1:5" x14ac:dyDescent="0.3">
      <c r="A17" t="s">
        <v>220</v>
      </c>
      <c r="B17">
        <f>B6*B8+B7*B9</f>
        <v>88</v>
      </c>
      <c r="C17" t="s">
        <v>207</v>
      </c>
      <c r="D17" t="s">
        <v>221</v>
      </c>
    </row>
    <row r="19" spans="1:5" x14ac:dyDescent="0.3">
      <c r="A19" t="s">
        <v>222</v>
      </c>
      <c r="B19">
        <f>(B16*B17)</f>
        <v>13133164.127505602</v>
      </c>
      <c r="C19" t="s">
        <v>172</v>
      </c>
      <c r="D19" t="s">
        <v>223</v>
      </c>
    </row>
    <row r="20" spans="1:5" x14ac:dyDescent="0.3">
      <c r="A20" t="s">
        <v>224</v>
      </c>
      <c r="B20">
        <f>0.02*B19</f>
        <v>262663.28255011205</v>
      </c>
    </row>
    <row r="22" spans="1:5" x14ac:dyDescent="0.3">
      <c r="A22" s="4" t="s">
        <v>225</v>
      </c>
      <c r="B22" s="4"/>
      <c r="C22" s="4"/>
      <c r="D22" s="4"/>
      <c r="E22" s="4"/>
    </row>
    <row r="23" spans="1:5" x14ac:dyDescent="0.3">
      <c r="A23" t="s">
        <v>226</v>
      </c>
      <c r="B23">
        <v>5000</v>
      </c>
      <c r="C23" t="s">
        <v>172</v>
      </c>
      <c r="D23" t="s">
        <v>227</v>
      </c>
    </row>
    <row r="24" spans="1:5" x14ac:dyDescent="0.3">
      <c r="A24" t="s">
        <v>228</v>
      </c>
      <c r="B24">
        <f>B2*B23</f>
        <v>30000</v>
      </c>
      <c r="C24" t="s">
        <v>172</v>
      </c>
    </row>
    <row r="25" spans="1:5" x14ac:dyDescent="0.3">
      <c r="A25" t="s">
        <v>229</v>
      </c>
      <c r="B25">
        <v>100000</v>
      </c>
      <c r="C25" t="s">
        <v>172</v>
      </c>
    </row>
    <row r="26" spans="1:5" x14ac:dyDescent="0.3">
      <c r="A26" t="s">
        <v>230</v>
      </c>
      <c r="B26" s="5">
        <f>B24+B25</f>
        <v>130000</v>
      </c>
      <c r="C26" t="s">
        <v>172</v>
      </c>
    </row>
    <row r="28" spans="1:5" x14ac:dyDescent="0.3">
      <c r="A28" t="s">
        <v>231</v>
      </c>
      <c r="B28" s="5">
        <f>B19+B20+B26</f>
        <v>13525827.410055714</v>
      </c>
    </row>
    <row r="30" spans="1:5" x14ac:dyDescent="0.3">
      <c r="A30" t="s">
        <v>232</v>
      </c>
      <c r="B30">
        <f>111.257+0.1469*(B3)</f>
        <v>211.0305067875</v>
      </c>
      <c r="C30" t="s">
        <v>172</v>
      </c>
      <c r="D30" t="s">
        <v>233</v>
      </c>
    </row>
    <row r="31" spans="1:5" x14ac:dyDescent="0.3">
      <c r="A31" t="s">
        <v>183</v>
      </c>
      <c r="B31">
        <f>0.05*B30</f>
        <v>10.551525339375001</v>
      </c>
    </row>
    <row r="33" spans="1:4" x14ac:dyDescent="0.3">
      <c r="A33" t="s">
        <v>234</v>
      </c>
      <c r="B33">
        <f>(B30+B31)*B10</f>
        <v>1107.910160634375</v>
      </c>
      <c r="C33" t="s">
        <v>172</v>
      </c>
      <c r="D33" t="s">
        <v>235</v>
      </c>
    </row>
    <row r="36" spans="1:4" x14ac:dyDescent="0.3">
      <c r="A36" s="1" t="s">
        <v>236</v>
      </c>
      <c r="B36" s="5">
        <f>B28+B33</f>
        <v>13526935.320216348</v>
      </c>
      <c r="C36" t="s">
        <v>172</v>
      </c>
      <c r="D36" s="6" t="s">
        <v>237</v>
      </c>
    </row>
    <row r="38" spans="1:4" x14ac:dyDescent="0.3">
      <c r="A38" t="s">
        <v>238</v>
      </c>
      <c r="B38">
        <f>B28/12</f>
        <v>1127152.2841713096</v>
      </c>
      <c r="C38" t="s">
        <v>58</v>
      </c>
      <c r="D38" t="s">
        <v>239</v>
      </c>
    </row>
    <row r="39" spans="1:4" x14ac:dyDescent="0.3">
      <c r="A39" t="s">
        <v>240</v>
      </c>
      <c r="B39">
        <f>B33/12</f>
        <v>92.325846719531242</v>
      </c>
      <c r="C39" t="s">
        <v>58</v>
      </c>
      <c r="D39" t="s">
        <v>239</v>
      </c>
    </row>
    <row r="40" spans="1:4" x14ac:dyDescent="0.3">
      <c r="A40" t="s">
        <v>241</v>
      </c>
      <c r="B40">
        <f>B39+B38</f>
        <v>1127244.6100180291</v>
      </c>
      <c r="C40" t="s">
        <v>58</v>
      </c>
      <c r="D40" t="s">
        <v>242</v>
      </c>
    </row>
    <row r="42" spans="1:4" x14ac:dyDescent="0.3">
      <c r="A42" s="1" t="s">
        <v>243</v>
      </c>
      <c r="B42">
        <f>B40</f>
        <v>1127244.6100180291</v>
      </c>
      <c r="C42" s="7" t="s">
        <v>58</v>
      </c>
    </row>
    <row r="43" spans="1:4" x14ac:dyDescent="0.3">
      <c r="A43" t="s">
        <v>244</v>
      </c>
      <c r="B43">
        <f>B3*8000*6</f>
        <v>32601282</v>
      </c>
      <c r="C43" t="s">
        <v>149</v>
      </c>
      <c r="D43" t="s">
        <v>245</v>
      </c>
    </row>
    <row r="44" spans="1:4" x14ac:dyDescent="0.3">
      <c r="A44" s="1" t="s">
        <v>193</v>
      </c>
      <c r="B44" s="1">
        <f>B42/B43</f>
        <v>3.4576695788160389E-2</v>
      </c>
      <c r="C44" s="1" t="s">
        <v>246</v>
      </c>
    </row>
    <row r="45" spans="1:4" x14ac:dyDescent="0.3">
      <c r="A45" s="1"/>
      <c r="B45" s="1"/>
      <c r="C45" s="1"/>
    </row>
    <row r="47" spans="1:4" x14ac:dyDescent="0.3">
      <c r="A47" s="1"/>
      <c r="B47" s="8" t="s">
        <v>247</v>
      </c>
    </row>
    <row r="48" spans="1:4" x14ac:dyDescent="0.3">
      <c r="A48" t="s">
        <v>248</v>
      </c>
      <c r="B48">
        <v>0.09</v>
      </c>
      <c r="C48" t="s">
        <v>20</v>
      </c>
    </row>
    <row r="49" spans="1:3" x14ac:dyDescent="0.3">
      <c r="A49" t="s">
        <v>249</v>
      </c>
      <c r="B49">
        <v>90</v>
      </c>
      <c r="C49" t="s">
        <v>203</v>
      </c>
    </row>
    <row r="50" spans="1:3" x14ac:dyDescent="0.3">
      <c r="A50" t="s">
        <v>250</v>
      </c>
      <c r="B50">
        <v>1.2099999999999999E-5</v>
      </c>
      <c r="C50" t="s">
        <v>251</v>
      </c>
    </row>
    <row r="51" spans="1:3" x14ac:dyDescent="0.3">
      <c r="A51" t="s">
        <v>252</v>
      </c>
      <c r="B51">
        <v>0.1</v>
      </c>
      <c r="C51" t="s">
        <v>203</v>
      </c>
    </row>
    <row r="54" spans="1:3" x14ac:dyDescent="0.3">
      <c r="A54" t="s">
        <v>253</v>
      </c>
      <c r="B54">
        <f>(B3/3600)/(PI()*(0.09/2)^2)</f>
        <v>29.656236748015729</v>
      </c>
    </row>
    <row r="55" spans="1:3" x14ac:dyDescent="0.3">
      <c r="A55" t="s">
        <v>254</v>
      </c>
      <c r="B55">
        <f>(1.298*B54*B48)/B50</f>
        <v>286317.48569447914</v>
      </c>
    </row>
    <row r="56" spans="1:3" x14ac:dyDescent="0.3">
      <c r="A56" t="s">
        <v>255</v>
      </c>
      <c r="B56">
        <f>1/(-1.8*LOG10(((B51/B49)/3.7)^1.11 + 6.9/B55))^2</f>
        <v>2.1016000243894849E-2</v>
      </c>
    </row>
    <row r="57" spans="1:3" x14ac:dyDescent="0.3">
      <c r="A57" s="1" t="s">
        <v>256</v>
      </c>
      <c r="B57">
        <f>B56*(7480/0.09)*(1.298*B54^2/2)</f>
        <v>996978.815289994</v>
      </c>
      <c r="C57" t="s">
        <v>251</v>
      </c>
    </row>
    <row r="58" spans="1:3" x14ac:dyDescent="0.3">
      <c r="A58" t="s">
        <v>257</v>
      </c>
      <c r="B58" s="1">
        <v>6.3250000000000001E-2</v>
      </c>
      <c r="C58" s="1" t="s">
        <v>258</v>
      </c>
    </row>
    <row r="59" spans="1:3" x14ac:dyDescent="0.3">
      <c r="A59" t="s">
        <v>259</v>
      </c>
      <c r="B59">
        <v>0.101325</v>
      </c>
      <c r="C59" t="s">
        <v>260</v>
      </c>
    </row>
    <row r="60" spans="1:3" x14ac:dyDescent="0.3">
      <c r="A60" t="s">
        <v>261</v>
      </c>
      <c r="B60">
        <f>(B59+B58)*2</f>
        <v>0.32915</v>
      </c>
      <c r="C60" t="s">
        <v>260</v>
      </c>
    </row>
    <row r="62" spans="1:3" x14ac:dyDescent="0.3">
      <c r="B62" s="9" t="s">
        <v>262</v>
      </c>
    </row>
    <row r="64" spans="1:3" x14ac:dyDescent="0.3">
      <c r="A64" t="s">
        <v>263</v>
      </c>
      <c r="B64">
        <f>SQRT(B60/B59)</f>
        <v>1.8023478943854752</v>
      </c>
    </row>
    <row r="65" spans="1:4" x14ac:dyDescent="0.3">
      <c r="A65" t="s">
        <v>264</v>
      </c>
      <c r="B65">
        <f>((1.304-1)/(B64*1.304))</f>
        <v>0.12934730030869837</v>
      </c>
    </row>
    <row r="66" spans="1:4" x14ac:dyDescent="0.3">
      <c r="A66" t="s">
        <v>265</v>
      </c>
      <c r="B66">
        <f>(B60/B59)^B65-1</f>
        <v>0.16461953490425496</v>
      </c>
    </row>
    <row r="67" spans="1:4" x14ac:dyDescent="0.3">
      <c r="A67" t="s">
        <v>266</v>
      </c>
      <c r="B67">
        <f>0.9977*8.3145*288.15*4.289*B64*B66</f>
        <v>3041.8008287435796</v>
      </c>
      <c r="C67" t="s">
        <v>267</v>
      </c>
    </row>
    <row r="68" spans="1:4" x14ac:dyDescent="0.3">
      <c r="B68">
        <f>B67/0.02897</f>
        <v>104998.30268358922</v>
      </c>
      <c r="C68" t="s">
        <v>268</v>
      </c>
    </row>
    <row r="69" spans="1:4" x14ac:dyDescent="0.3">
      <c r="B69">
        <f>B68/1000</f>
        <v>104.99830268358923</v>
      </c>
      <c r="C69" t="s">
        <v>269</v>
      </c>
    </row>
    <row r="71" spans="1:4" x14ac:dyDescent="0.3">
      <c r="A71" t="s">
        <v>270</v>
      </c>
      <c r="B71">
        <f>B69/(0.6*0.99*3600)</f>
        <v>4.9101338703511611E-2</v>
      </c>
      <c r="C71" t="s">
        <v>271</v>
      </c>
    </row>
    <row r="72" spans="1:4" x14ac:dyDescent="0.3">
      <c r="A72" t="s">
        <v>272</v>
      </c>
      <c r="B72">
        <f>B71*(1.07/0.9)</f>
        <v>5.8376036014174917E-2</v>
      </c>
      <c r="C72" t="s">
        <v>271</v>
      </c>
    </row>
    <row r="73" spans="1:4" x14ac:dyDescent="0.3">
      <c r="B73">
        <f>B72*1.298</f>
        <v>7.5772094746399052E-2</v>
      </c>
      <c r="C73" t="s">
        <v>273</v>
      </c>
    </row>
    <row r="74" spans="1:4" x14ac:dyDescent="0.3">
      <c r="A74" s="1" t="s">
        <v>274</v>
      </c>
      <c r="B74" s="1">
        <f>B73*3.6</f>
        <v>0.27277954108703661</v>
      </c>
      <c r="C74" s="1" t="s">
        <v>275</v>
      </c>
      <c r="D74" t="s">
        <v>276</v>
      </c>
    </row>
    <row r="75" spans="1:4" x14ac:dyDescent="0.3">
      <c r="A75" s="1"/>
      <c r="B75" s="1"/>
      <c r="C75" s="1"/>
    </row>
    <row r="76" spans="1:4" x14ac:dyDescent="0.3">
      <c r="A76" t="s">
        <v>277</v>
      </c>
      <c r="B76">
        <f>B43</f>
        <v>32601282</v>
      </c>
      <c r="C76" t="s">
        <v>149</v>
      </c>
    </row>
    <row r="77" spans="1:4" x14ac:dyDescent="0.3">
      <c r="A77" t="s">
        <v>278</v>
      </c>
      <c r="B77">
        <f>B73*B76</f>
        <v>2470267.4285580739</v>
      </c>
      <c r="C77" t="s">
        <v>279</v>
      </c>
    </row>
    <row r="78" spans="1:4" x14ac:dyDescent="0.3">
      <c r="A78" t="s">
        <v>280</v>
      </c>
      <c r="B78">
        <f>B77*B11</f>
        <v>345837.43999813037</v>
      </c>
      <c r="C78" t="s">
        <v>58</v>
      </c>
    </row>
    <row r="79" spans="1:4" x14ac:dyDescent="0.3">
      <c r="A79" t="s">
        <v>281</v>
      </c>
      <c r="B79">
        <f>B78/B76</f>
        <v>1.0608093264495867E-2</v>
      </c>
      <c r="C79" t="s">
        <v>246</v>
      </c>
    </row>
    <row r="82" spans="1:5" x14ac:dyDescent="0.3">
      <c r="A82" s="1" t="s">
        <v>282</v>
      </c>
      <c r="B82" s="1">
        <f>B44+B79</f>
        <v>4.5184789052656257E-2</v>
      </c>
      <c r="C82" t="s">
        <v>246</v>
      </c>
      <c r="D82" s="1"/>
      <c r="E82" s="1"/>
    </row>
    <row r="83" spans="1:5" x14ac:dyDescent="0.3">
      <c r="B83" s="1">
        <f>B82*100</f>
        <v>4.518478905265626</v>
      </c>
      <c r="C83" t="s">
        <v>283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D128-9FF9-4034-BBA7-59034ED03230}">
  <dimension ref="A1:D29"/>
  <sheetViews>
    <sheetView workbookViewId="0">
      <selection activeCell="B21" sqref="B21"/>
    </sheetView>
  </sheetViews>
  <sheetFormatPr defaultColWidth="9.109375" defaultRowHeight="14.4" x14ac:dyDescent="0.3"/>
  <cols>
    <col min="1" max="1" width="36.88671875" style="10" customWidth="1"/>
    <col min="2" max="2" width="27.44140625" style="10" customWidth="1"/>
    <col min="3" max="3" width="18.5546875" style="10" customWidth="1"/>
    <col min="4" max="4" width="73.44140625" style="10" customWidth="1"/>
    <col min="5" max="16384" width="9.109375" style="10"/>
  </cols>
  <sheetData>
    <row r="1" spans="1:4" x14ac:dyDescent="0.3">
      <c r="A1" s="11" t="s">
        <v>284</v>
      </c>
      <c r="B1" s="12" t="s">
        <v>1</v>
      </c>
      <c r="C1" s="12" t="s">
        <v>2</v>
      </c>
      <c r="D1" s="12" t="s">
        <v>195</v>
      </c>
    </row>
    <row r="2" spans="1:4" x14ac:dyDescent="0.3">
      <c r="A2" s="10" t="s">
        <v>285</v>
      </c>
      <c r="B2" s="10">
        <f>Digester!B5</f>
        <v>4075.1602499999999</v>
      </c>
      <c r="C2" s="10" t="s">
        <v>166</v>
      </c>
    </row>
    <row r="3" spans="1:4" x14ac:dyDescent="0.3">
      <c r="A3" s="10" t="s">
        <v>161</v>
      </c>
      <c r="B3" s="10">
        <v>8000</v>
      </c>
      <c r="C3" s="10" t="s">
        <v>162</v>
      </c>
    </row>
    <row r="4" spans="1:4" x14ac:dyDescent="0.3">
      <c r="A4" s="10" t="s">
        <v>286</v>
      </c>
      <c r="B4" s="10">
        <f>Digester!B6</f>
        <v>17021869.199999999</v>
      </c>
      <c r="C4" s="10" t="s">
        <v>90</v>
      </c>
      <c r="D4" s="10" t="s">
        <v>287</v>
      </c>
    </row>
    <row r="5" spans="1:4" x14ac:dyDescent="0.3">
      <c r="A5" s="10" t="s">
        <v>196</v>
      </c>
      <c r="B5" s="10">
        <v>6</v>
      </c>
    </row>
    <row r="7" spans="1:4" x14ac:dyDescent="0.3">
      <c r="A7" s="12" t="s">
        <v>288</v>
      </c>
      <c r="B7" s="12" t="s">
        <v>1</v>
      </c>
      <c r="C7" s="12" t="s">
        <v>2</v>
      </c>
      <c r="D7" s="12" t="s">
        <v>195</v>
      </c>
    </row>
    <row r="8" spans="1:4" x14ac:dyDescent="0.3">
      <c r="A8" s="10" t="s">
        <v>289</v>
      </c>
      <c r="B8" s="10">
        <v>12</v>
      </c>
      <c r="C8" s="10" t="s">
        <v>290</v>
      </c>
    </row>
    <row r="9" spans="1:4" x14ac:dyDescent="0.3">
      <c r="A9" s="10" t="s">
        <v>291</v>
      </c>
      <c r="B9" s="13">
        <v>7.0000000000000007E-2</v>
      </c>
    </row>
    <row r="10" spans="1:4" x14ac:dyDescent="0.3">
      <c r="A10" s="10" t="s">
        <v>292</v>
      </c>
      <c r="B10" s="13">
        <v>0.05</v>
      </c>
    </row>
    <row r="12" spans="1:4" x14ac:dyDescent="0.3">
      <c r="A12" s="10" t="s">
        <v>293</v>
      </c>
      <c r="B12" s="10">
        <f xml:space="preserve"> 81532*B2^(0.4551)</f>
        <v>3583479.6694201604</v>
      </c>
      <c r="C12" s="10" t="s">
        <v>172</v>
      </c>
      <c r="D12" s="10" t="s">
        <v>294</v>
      </c>
    </row>
    <row r="13" spans="1:4" x14ac:dyDescent="0.3">
      <c r="A13" s="10" t="s">
        <v>295</v>
      </c>
      <c r="B13" s="10">
        <v>0.1128</v>
      </c>
      <c r="D13" s="14" t="s">
        <v>296</v>
      </c>
    </row>
    <row r="14" spans="1:4" x14ac:dyDescent="0.3">
      <c r="A14" s="10" t="s">
        <v>297</v>
      </c>
      <c r="B14" s="10">
        <f>B12*B13</f>
        <v>404216.50671059405</v>
      </c>
      <c r="C14" s="10" t="s">
        <v>58</v>
      </c>
      <c r="D14" s="10" t="s">
        <v>298</v>
      </c>
    </row>
    <row r="16" spans="1:4" x14ac:dyDescent="0.3">
      <c r="A16" s="10" t="s">
        <v>299</v>
      </c>
      <c r="B16" s="10">
        <f>B12 * B10</f>
        <v>179173.98347100802</v>
      </c>
      <c r="C16" s="10" t="s">
        <v>58</v>
      </c>
      <c r="D16" s="10" t="s">
        <v>300</v>
      </c>
    </row>
    <row r="18" spans="1:4" x14ac:dyDescent="0.3">
      <c r="A18" s="10" t="s">
        <v>301</v>
      </c>
      <c r="B18" s="10">
        <v>0.40799999999999997</v>
      </c>
      <c r="C18" s="10" t="s">
        <v>302</v>
      </c>
    </row>
    <row r="19" spans="1:4" x14ac:dyDescent="0.3">
      <c r="A19" s="10" t="s">
        <v>211</v>
      </c>
      <c r="B19" s="10">
        <v>0.14000000000000001</v>
      </c>
      <c r="C19" s="10" t="s">
        <v>212</v>
      </c>
    </row>
    <row r="21" spans="1:4" x14ac:dyDescent="0.3">
      <c r="A21" s="10" t="s">
        <v>303</v>
      </c>
      <c r="B21" s="10">
        <f>B4*B18</f>
        <v>6944922.6335999994</v>
      </c>
      <c r="C21" s="10" t="s">
        <v>304</v>
      </c>
      <c r="D21" s="10" t="s">
        <v>305</v>
      </c>
    </row>
    <row r="22" spans="1:4" x14ac:dyDescent="0.3">
      <c r="A22" s="15" t="s">
        <v>274</v>
      </c>
      <c r="B22" s="15">
        <f xml:space="preserve"> (3.6 * B21)/B4</f>
        <v>1.4687999999999999</v>
      </c>
      <c r="C22" s="15" t="s">
        <v>275</v>
      </c>
      <c r="D22" s="10" t="s">
        <v>306</v>
      </c>
    </row>
    <row r="24" spans="1:4" x14ac:dyDescent="0.3">
      <c r="A24" s="10" t="s">
        <v>307</v>
      </c>
      <c r="B24" s="10">
        <f>B19*B21</f>
        <v>972289.16870399995</v>
      </c>
      <c r="C24" s="10" t="s">
        <v>58</v>
      </c>
      <c r="D24" s="10" t="s">
        <v>308</v>
      </c>
    </row>
    <row r="25" spans="1:4" x14ac:dyDescent="0.3">
      <c r="A25" s="10" t="s">
        <v>309</v>
      </c>
      <c r="B25" s="10">
        <f>B14+B16+B24</f>
        <v>1555679.6588856019</v>
      </c>
      <c r="C25" s="10" t="s">
        <v>58</v>
      </c>
      <c r="D25" s="10" t="s">
        <v>310</v>
      </c>
    </row>
    <row r="27" spans="1:4" x14ac:dyDescent="0.3">
      <c r="A27" s="10" t="s">
        <v>311</v>
      </c>
      <c r="B27" s="10">
        <f>B25/B4</f>
        <v>9.1392998066604933E-2</v>
      </c>
      <c r="C27" s="10" t="s">
        <v>246</v>
      </c>
      <c r="D27" s="10" t="s">
        <v>312</v>
      </c>
    </row>
    <row r="29" spans="1:4" x14ac:dyDescent="0.3">
      <c r="A29" s="15" t="s">
        <v>313</v>
      </c>
      <c r="B29" s="15">
        <f>B27*100</f>
        <v>9.1392998066604925</v>
      </c>
      <c r="C29" s="10" t="s">
        <v>283</v>
      </c>
      <c r="D29" s="10" t="s">
        <v>314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FC8D-D85B-4142-9AD4-47C59A6CB6F2}">
  <dimension ref="A1:I33"/>
  <sheetViews>
    <sheetView topLeftCell="A13" workbookViewId="0">
      <selection activeCell="B30" sqref="B30"/>
    </sheetView>
  </sheetViews>
  <sheetFormatPr defaultRowHeight="14.4" x14ac:dyDescent="0.3"/>
  <cols>
    <col min="1" max="1" width="28.88671875" customWidth="1"/>
    <col min="2" max="2" width="18.109375" customWidth="1"/>
    <col min="3" max="3" width="16.44140625" customWidth="1"/>
    <col min="4" max="4" width="59.6640625" customWidth="1"/>
    <col min="8" max="8" width="36.5546875" bestFit="1" customWidth="1"/>
    <col min="9" max="9" width="27.33203125" customWidth="1"/>
  </cols>
  <sheetData>
    <row r="1" spans="1:9" x14ac:dyDescent="0.3">
      <c r="A1" t="s">
        <v>49</v>
      </c>
      <c r="B1" t="s">
        <v>315</v>
      </c>
      <c r="D1" t="s">
        <v>2</v>
      </c>
      <c r="H1" s="6" t="s">
        <v>316</v>
      </c>
      <c r="I1" t="s">
        <v>317</v>
      </c>
    </row>
    <row r="2" spans="1:9" x14ac:dyDescent="0.3">
      <c r="A2" t="s">
        <v>286</v>
      </c>
      <c r="B2" s="5">
        <v>17021869.199999999</v>
      </c>
      <c r="D2" t="s">
        <v>16</v>
      </c>
      <c r="H2" s="6"/>
    </row>
    <row r="3" spans="1:9" ht="28.8" x14ac:dyDescent="0.3">
      <c r="A3" t="s">
        <v>161</v>
      </c>
      <c r="B3" s="5">
        <v>8000</v>
      </c>
      <c r="D3" t="s">
        <v>162</v>
      </c>
      <c r="H3" s="6" t="s">
        <v>318</v>
      </c>
    </row>
    <row r="4" spans="1:9" x14ac:dyDescent="0.3">
      <c r="A4" t="s">
        <v>319</v>
      </c>
      <c r="B4">
        <f>B2/B3</f>
        <v>2127.7336500000001</v>
      </c>
      <c r="D4" t="s">
        <v>166</v>
      </c>
      <c r="H4" s="6" t="s">
        <v>320</v>
      </c>
    </row>
    <row r="5" spans="1:9" x14ac:dyDescent="0.3">
      <c r="H5" s="6" t="s">
        <v>321</v>
      </c>
    </row>
    <row r="6" spans="1:9" ht="28.8" x14ac:dyDescent="0.3">
      <c r="A6" t="s">
        <v>322</v>
      </c>
      <c r="H6" s="6" t="s">
        <v>323</v>
      </c>
    </row>
    <row r="7" spans="1:9" x14ac:dyDescent="0.3">
      <c r="A7" t="s">
        <v>324</v>
      </c>
      <c r="B7">
        <v>500</v>
      </c>
      <c r="D7" t="s">
        <v>20</v>
      </c>
      <c r="H7" s="6"/>
    </row>
    <row r="8" spans="1:9" x14ac:dyDescent="0.3">
      <c r="A8" t="s">
        <v>325</v>
      </c>
      <c r="B8">
        <v>130</v>
      </c>
      <c r="D8" t="s">
        <v>207</v>
      </c>
      <c r="H8" s="6"/>
    </row>
    <row r="9" spans="1:9" x14ac:dyDescent="0.3">
      <c r="H9" s="6"/>
    </row>
    <row r="10" spans="1:9" x14ac:dyDescent="0.3">
      <c r="A10" t="s">
        <v>326</v>
      </c>
      <c r="B10">
        <v>200000</v>
      </c>
      <c r="D10" t="s">
        <v>172</v>
      </c>
      <c r="H10" s="6"/>
    </row>
    <row r="11" spans="1:9" ht="28.8" x14ac:dyDescent="0.3">
      <c r="A11" t="s">
        <v>327</v>
      </c>
      <c r="B11">
        <f>B7*B8</f>
        <v>65000</v>
      </c>
      <c r="D11" t="s">
        <v>172</v>
      </c>
      <c r="H11" s="6" t="s">
        <v>328</v>
      </c>
    </row>
    <row r="12" spans="1:9" x14ac:dyDescent="0.3">
      <c r="H12" s="6"/>
    </row>
    <row r="13" spans="1:9" x14ac:dyDescent="0.3">
      <c r="A13" t="s">
        <v>329</v>
      </c>
      <c r="B13">
        <f>B10+B11</f>
        <v>265000</v>
      </c>
      <c r="D13" t="s">
        <v>172</v>
      </c>
      <c r="H13" s="6"/>
    </row>
    <row r="14" spans="1:9" x14ac:dyDescent="0.3">
      <c r="H14" s="6"/>
    </row>
    <row r="15" spans="1:9" x14ac:dyDescent="0.3">
      <c r="A15" t="s">
        <v>330</v>
      </c>
      <c r="B15" s="5">
        <f>B13/12</f>
        <v>22083.333333333332</v>
      </c>
      <c r="D15" t="s">
        <v>58</v>
      </c>
      <c r="H15" s="6"/>
    </row>
    <row r="16" spans="1:9" x14ac:dyDescent="0.3">
      <c r="A16" t="s">
        <v>331</v>
      </c>
      <c r="B16" s="5">
        <f>B13*0.07</f>
        <v>18550</v>
      </c>
      <c r="D16" t="s">
        <v>58</v>
      </c>
      <c r="H16" s="6"/>
    </row>
    <row r="17" spans="1:8" x14ac:dyDescent="0.3">
      <c r="H17" s="6"/>
    </row>
    <row r="18" spans="1:8" x14ac:dyDescent="0.3">
      <c r="A18" t="s">
        <v>332</v>
      </c>
      <c r="H18" s="6"/>
    </row>
    <row r="19" spans="1:8" x14ac:dyDescent="0.3">
      <c r="A19" t="s">
        <v>333</v>
      </c>
      <c r="B19">
        <f>B13*0.05</f>
        <v>13250</v>
      </c>
      <c r="D19" t="s">
        <v>58</v>
      </c>
      <c r="H19" s="6"/>
    </row>
    <row r="20" spans="1:8" x14ac:dyDescent="0.3">
      <c r="H20" s="6"/>
    </row>
    <row r="21" spans="1:8" x14ac:dyDescent="0.3">
      <c r="H21" s="6"/>
    </row>
    <row r="22" spans="1:8" x14ac:dyDescent="0.3">
      <c r="A22" t="s">
        <v>334</v>
      </c>
      <c r="B22" s="5">
        <f>B19+B16+B15</f>
        <v>53883.333333333328</v>
      </c>
      <c r="D22" t="s">
        <v>58</v>
      </c>
      <c r="H22" s="6"/>
    </row>
    <row r="23" spans="1:8" x14ac:dyDescent="0.3">
      <c r="H23" s="6"/>
    </row>
    <row r="24" spans="1:8" x14ac:dyDescent="0.3">
      <c r="A24" t="s">
        <v>335</v>
      </c>
      <c r="B24">
        <f>B22/B2</f>
        <v>3.1655356236278288E-3</v>
      </c>
      <c r="H24" s="6"/>
    </row>
    <row r="25" spans="1:8" x14ac:dyDescent="0.3">
      <c r="H25" s="6"/>
    </row>
    <row r="26" spans="1:8" x14ac:dyDescent="0.3">
      <c r="A26" s="1" t="s">
        <v>336</v>
      </c>
      <c r="B26" s="1">
        <f>B24*100</f>
        <v>0.31655356236278287</v>
      </c>
      <c r="D26" t="s">
        <v>337</v>
      </c>
      <c r="H26" s="6"/>
    </row>
    <row r="29" spans="1:8" x14ac:dyDescent="0.3">
      <c r="A29" s="10" t="s">
        <v>301</v>
      </c>
      <c r="B29" s="10">
        <v>7.0000000000000007E-2</v>
      </c>
      <c r="C29" s="10" t="s">
        <v>302</v>
      </c>
      <c r="D29" s="10"/>
    </row>
    <row r="30" spans="1:8" x14ac:dyDescent="0.3">
      <c r="A30" s="10" t="s">
        <v>211</v>
      </c>
      <c r="B30" s="10">
        <v>0.14000000000000001</v>
      </c>
      <c r="C30" s="10" t="s">
        <v>212</v>
      </c>
      <c r="D30" s="10"/>
    </row>
    <row r="32" spans="1:8" x14ac:dyDescent="0.3">
      <c r="A32" s="10" t="s">
        <v>303</v>
      </c>
      <c r="B32" s="10">
        <f>B29*B2</f>
        <v>1191530.844</v>
      </c>
      <c r="C32" s="10" t="s">
        <v>304</v>
      </c>
      <c r="D32" s="10" t="s">
        <v>305</v>
      </c>
    </row>
    <row r="33" spans="1:4" x14ac:dyDescent="0.3">
      <c r="A33" s="15" t="s">
        <v>274</v>
      </c>
      <c r="B33" s="15">
        <f xml:space="preserve"> (3.6 * B32)/B2</f>
        <v>0.252</v>
      </c>
      <c r="C33" s="15" t="s">
        <v>275</v>
      </c>
      <c r="D33" s="10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Inputs &amp; Geometry</vt:lpstr>
      <vt:lpstr>Maize Transport</vt:lpstr>
      <vt:lpstr>Manure</vt:lpstr>
      <vt:lpstr>Cosubstrate</vt:lpstr>
      <vt:lpstr>Manure Transport</vt:lpstr>
      <vt:lpstr>Digestate Transport</vt:lpstr>
      <vt:lpstr>Digester Biogas</vt:lpstr>
      <vt:lpstr>Digestate Handling</vt:lpstr>
      <vt:lpstr>Digester</vt:lpstr>
      <vt:lpstr>Biogass grid</vt:lpstr>
      <vt:lpstr>Upgrading</vt:lpstr>
      <vt:lpstr>Injection Right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Vinit Gujrathi</dc:creator>
  <cp:keywords/>
  <dc:description/>
  <cp:lastModifiedBy>Tarun Kumawat</cp:lastModifiedBy>
  <cp:revision/>
  <dcterms:created xsi:type="dcterms:W3CDTF">2026-02-10T07:02:08Z</dcterms:created>
  <dcterms:modified xsi:type="dcterms:W3CDTF">2026-04-28T18:03:22Z</dcterms:modified>
  <cp:category/>
  <cp:contentStatus/>
</cp:coreProperties>
</file>